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SWATI DAS\Desktop\DataScience Course\"/>
    </mc:Choice>
  </mc:AlternateContent>
  <xr:revisionPtr revIDLastSave="0" documentId="13_ncr:1_{58877255-2399-4367-9396-6C78CAE66205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Posts" sheetId="1" r:id="rId1"/>
    <sheet name="Follower growth per platform" sheetId="4" r:id="rId2"/>
    <sheet name="Peak week follower gain" sheetId="5" r:id="rId3"/>
    <sheet name="Engagement Summary" sheetId="2" r:id="rId4"/>
    <sheet name=" Moving Averages " sheetId="7" r:id="rId5"/>
    <sheet name="Campaign Metadata" sheetId="3" r:id="rId6"/>
    <sheet name="Correlation" sheetId="6" r:id="rId7"/>
  </sheets>
  <definedNames>
    <definedName name="_xlnm._FilterDatabase" localSheetId="0" hidden="1">Posts!$A$1:$AB$301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" i="6" l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" i="6"/>
  <c r="H39" i="7"/>
  <c r="H55" i="7"/>
  <c r="H65" i="7"/>
  <c r="H87" i="7"/>
  <c r="H88" i="7"/>
  <c r="H116" i="7"/>
  <c r="H161" i="7"/>
  <c r="H180" i="7"/>
  <c r="H183" i="7"/>
  <c r="H196" i="7"/>
  <c r="G8" i="7"/>
  <c r="G9" i="7"/>
  <c r="G12" i="7"/>
  <c r="G24" i="7"/>
  <c r="G25" i="7"/>
  <c r="G28" i="7"/>
  <c r="G31" i="7"/>
  <c r="G44" i="7"/>
  <c r="G47" i="7"/>
  <c r="G48" i="7"/>
  <c r="G49" i="7"/>
  <c r="G60" i="7"/>
  <c r="G63" i="7"/>
  <c r="G64" i="7"/>
  <c r="G65" i="7"/>
  <c r="G72" i="7"/>
  <c r="G73" i="7"/>
  <c r="G76" i="7"/>
  <c r="G88" i="7"/>
  <c r="G89" i="7"/>
  <c r="G91" i="7"/>
  <c r="G92" i="7"/>
  <c r="G99" i="7"/>
  <c r="G100" i="7"/>
  <c r="H100" i="7" s="1"/>
  <c r="G102" i="7"/>
  <c r="G103" i="7"/>
  <c r="H103" i="7" s="1"/>
  <c r="G104" i="7"/>
  <c r="H104" i="7" s="1"/>
  <c r="G105" i="7"/>
  <c r="H105" i="7" s="1"/>
  <c r="G115" i="7"/>
  <c r="G116" i="7"/>
  <c r="G120" i="7"/>
  <c r="G121" i="7"/>
  <c r="G123" i="7"/>
  <c r="G124" i="7"/>
  <c r="G126" i="7"/>
  <c r="G127" i="7"/>
  <c r="G131" i="7"/>
  <c r="G132" i="7"/>
  <c r="H132" i="7" s="1"/>
  <c r="G134" i="7"/>
  <c r="G135" i="7"/>
  <c r="H135" i="7" s="1"/>
  <c r="G142" i="7"/>
  <c r="G143" i="7"/>
  <c r="G144" i="7"/>
  <c r="G145" i="7"/>
  <c r="G147" i="7"/>
  <c r="G148" i="7"/>
  <c r="H148" i="7" s="1"/>
  <c r="G155" i="7"/>
  <c r="G156" i="7"/>
  <c r="G158" i="7"/>
  <c r="G159" i="7"/>
  <c r="G163" i="7"/>
  <c r="G164" i="7"/>
  <c r="H164" i="7" s="1"/>
  <c r="G174" i="7"/>
  <c r="G175" i="7"/>
  <c r="G176" i="7"/>
  <c r="G177" i="7"/>
  <c r="G179" i="7"/>
  <c r="G180" i="7"/>
  <c r="G187" i="7"/>
  <c r="G188" i="7"/>
  <c r="G190" i="7"/>
  <c r="G191" i="7"/>
  <c r="G195" i="7"/>
  <c r="G196" i="7"/>
  <c r="G198" i="7"/>
  <c r="G199" i="7"/>
  <c r="H199" i="7" s="1"/>
  <c r="G200" i="7"/>
  <c r="H200" i="7" s="1"/>
  <c r="G201" i="7"/>
  <c r="H201" i="7" s="1"/>
  <c r="F3" i="7"/>
  <c r="F4" i="7"/>
  <c r="F5" i="7"/>
  <c r="F6" i="7"/>
  <c r="F7" i="7"/>
  <c r="F8" i="7"/>
  <c r="F9" i="7"/>
  <c r="F10" i="7"/>
  <c r="F11" i="7"/>
  <c r="F12" i="7"/>
  <c r="H12" i="7" s="1"/>
  <c r="F13" i="7"/>
  <c r="F14" i="7"/>
  <c r="F15" i="7"/>
  <c r="F16" i="7"/>
  <c r="F17" i="7"/>
  <c r="F18" i="7"/>
  <c r="F19" i="7"/>
  <c r="F20" i="7"/>
  <c r="G20" i="7" s="1"/>
  <c r="H20" i="7" s="1"/>
  <c r="F21" i="7"/>
  <c r="F22" i="7"/>
  <c r="F23" i="7"/>
  <c r="G23" i="7" s="1"/>
  <c r="F24" i="7"/>
  <c r="H24" i="7" s="1"/>
  <c r="F25" i="7"/>
  <c r="H25" i="7" s="1"/>
  <c r="F26" i="7"/>
  <c r="F27" i="7"/>
  <c r="F28" i="7"/>
  <c r="H28" i="7" s="1"/>
  <c r="F29" i="7"/>
  <c r="F30" i="7"/>
  <c r="F31" i="7"/>
  <c r="F32" i="7"/>
  <c r="F33" i="7"/>
  <c r="G33" i="7" s="1"/>
  <c r="H33" i="7" s="1"/>
  <c r="F34" i="7"/>
  <c r="F35" i="7"/>
  <c r="F36" i="7"/>
  <c r="G36" i="7" s="1"/>
  <c r="H36" i="7" s="1"/>
  <c r="F37" i="7"/>
  <c r="F38" i="7"/>
  <c r="F39" i="7"/>
  <c r="G39" i="7" s="1"/>
  <c r="F40" i="7"/>
  <c r="F41" i="7"/>
  <c r="F42" i="7"/>
  <c r="F43" i="7"/>
  <c r="F44" i="7"/>
  <c r="H44" i="7" s="1"/>
  <c r="F45" i="7"/>
  <c r="F46" i="7"/>
  <c r="F47" i="7"/>
  <c r="F48" i="7"/>
  <c r="F49" i="7"/>
  <c r="H49" i="7" s="1"/>
  <c r="F50" i="7"/>
  <c r="F51" i="7"/>
  <c r="F52" i="7"/>
  <c r="G52" i="7" s="1"/>
  <c r="H52" i="7" s="1"/>
  <c r="F53" i="7"/>
  <c r="F54" i="7"/>
  <c r="F55" i="7"/>
  <c r="G55" i="7" s="1"/>
  <c r="F56" i="7"/>
  <c r="G56" i="7" s="1"/>
  <c r="H56" i="7" s="1"/>
  <c r="F57" i="7"/>
  <c r="G57" i="7" s="1"/>
  <c r="H57" i="7" s="1"/>
  <c r="F58" i="7"/>
  <c r="F59" i="7"/>
  <c r="F60" i="7"/>
  <c r="H60" i="7" s="1"/>
  <c r="F61" i="7"/>
  <c r="F62" i="7"/>
  <c r="F63" i="7"/>
  <c r="F64" i="7"/>
  <c r="F65" i="7"/>
  <c r="F66" i="7"/>
  <c r="F67" i="7"/>
  <c r="F68" i="7"/>
  <c r="G68" i="7" s="1"/>
  <c r="H68" i="7" s="1"/>
  <c r="F69" i="7"/>
  <c r="F70" i="7"/>
  <c r="F71" i="7"/>
  <c r="G71" i="7" s="1"/>
  <c r="F72" i="7"/>
  <c r="H72" i="7" s="1"/>
  <c r="F73" i="7"/>
  <c r="H73" i="7" s="1"/>
  <c r="F74" i="7"/>
  <c r="F75" i="7"/>
  <c r="F76" i="7"/>
  <c r="H76" i="7" s="1"/>
  <c r="F77" i="7"/>
  <c r="F78" i="7"/>
  <c r="F79" i="7"/>
  <c r="F80" i="7"/>
  <c r="F81" i="7"/>
  <c r="G81" i="7" s="1"/>
  <c r="F82" i="7"/>
  <c r="F83" i="7"/>
  <c r="F84" i="7"/>
  <c r="G84" i="7" s="1"/>
  <c r="H84" i="7" s="1"/>
  <c r="F85" i="7"/>
  <c r="F86" i="7"/>
  <c r="F87" i="7"/>
  <c r="G87" i="7" s="1"/>
  <c r="F88" i="7"/>
  <c r="F89" i="7"/>
  <c r="H89" i="7" s="1"/>
  <c r="F90" i="7"/>
  <c r="F91" i="7"/>
  <c r="F92" i="7"/>
  <c r="H92" i="7" s="1"/>
  <c r="F93" i="7"/>
  <c r="F94" i="7"/>
  <c r="F95" i="7"/>
  <c r="F96" i="7"/>
  <c r="F97" i="7"/>
  <c r="G97" i="7" s="1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G113" i="7" s="1"/>
  <c r="H113" i="7" s="1"/>
  <c r="F114" i="7"/>
  <c r="F115" i="7"/>
  <c r="F116" i="7"/>
  <c r="F117" i="7"/>
  <c r="F118" i="7"/>
  <c r="F119" i="7"/>
  <c r="G119" i="7" s="1"/>
  <c r="F120" i="7"/>
  <c r="H120" i="7" s="1"/>
  <c r="F121" i="7"/>
  <c r="H121" i="7" s="1"/>
  <c r="F122" i="7"/>
  <c r="F123" i="7"/>
  <c r="F124" i="7"/>
  <c r="H124" i="7" s="1"/>
  <c r="F125" i="7"/>
  <c r="F126" i="7"/>
  <c r="F127" i="7"/>
  <c r="F128" i="7"/>
  <c r="F129" i="7"/>
  <c r="G129" i="7" s="1"/>
  <c r="F130" i="7"/>
  <c r="F131" i="7"/>
  <c r="F132" i="7"/>
  <c r="F133" i="7"/>
  <c r="F134" i="7"/>
  <c r="F135" i="7"/>
  <c r="F136" i="7"/>
  <c r="G136" i="7" s="1"/>
  <c r="H136" i="7" s="1"/>
  <c r="F137" i="7"/>
  <c r="G137" i="7" s="1"/>
  <c r="H137" i="7" s="1"/>
  <c r="F138" i="7"/>
  <c r="F139" i="7"/>
  <c r="F140" i="7"/>
  <c r="F141" i="7"/>
  <c r="F142" i="7"/>
  <c r="F143" i="7"/>
  <c r="F144" i="7"/>
  <c r="F145" i="7"/>
  <c r="H145" i="7" s="1"/>
  <c r="F146" i="7"/>
  <c r="F147" i="7"/>
  <c r="F148" i="7"/>
  <c r="F149" i="7"/>
  <c r="F150" i="7"/>
  <c r="F151" i="7"/>
  <c r="G151" i="7" s="1"/>
  <c r="F152" i="7"/>
  <c r="G152" i="7" s="1"/>
  <c r="F153" i="7"/>
  <c r="G153" i="7" s="1"/>
  <c r="F154" i="7"/>
  <c r="F155" i="7"/>
  <c r="F156" i="7"/>
  <c r="H156" i="7" s="1"/>
  <c r="F157" i="7"/>
  <c r="F158" i="7"/>
  <c r="F159" i="7"/>
  <c r="F160" i="7"/>
  <c r="F161" i="7"/>
  <c r="G161" i="7" s="1"/>
  <c r="F162" i="7"/>
  <c r="F163" i="7"/>
  <c r="F164" i="7"/>
  <c r="F165" i="7"/>
  <c r="F166" i="7"/>
  <c r="F167" i="7"/>
  <c r="G167" i="7" s="1"/>
  <c r="H167" i="7" s="1"/>
  <c r="F168" i="7"/>
  <c r="F169" i="7"/>
  <c r="F170" i="7"/>
  <c r="F171" i="7"/>
  <c r="F172" i="7"/>
  <c r="F173" i="7"/>
  <c r="F174" i="7"/>
  <c r="F175" i="7"/>
  <c r="F176" i="7"/>
  <c r="H176" i="7" s="1"/>
  <c r="F177" i="7"/>
  <c r="H177" i="7" s="1"/>
  <c r="F178" i="7"/>
  <c r="F179" i="7"/>
  <c r="F180" i="7"/>
  <c r="F181" i="7"/>
  <c r="F182" i="7"/>
  <c r="F183" i="7"/>
  <c r="G183" i="7" s="1"/>
  <c r="F184" i="7"/>
  <c r="G184" i="7" s="1"/>
  <c r="H184" i="7" s="1"/>
  <c r="F185" i="7"/>
  <c r="G185" i="7" s="1"/>
  <c r="H185" i="7" s="1"/>
  <c r="F186" i="7"/>
  <c r="F187" i="7"/>
  <c r="F188" i="7"/>
  <c r="H188" i="7" s="1"/>
  <c r="F189" i="7"/>
  <c r="F190" i="7"/>
  <c r="F191" i="7"/>
  <c r="F192" i="7"/>
  <c r="G192" i="7" s="1"/>
  <c r="F193" i="7"/>
  <c r="G193" i="7" s="1"/>
  <c r="F194" i="7"/>
  <c r="F195" i="7"/>
  <c r="F196" i="7"/>
  <c r="F197" i="7"/>
  <c r="F198" i="7"/>
  <c r="F199" i="7"/>
  <c r="F200" i="7"/>
  <c r="F201" i="7"/>
  <c r="F2" i="7"/>
  <c r="H40" i="7" l="1"/>
  <c r="H9" i="7"/>
  <c r="H153" i="7"/>
  <c r="G160" i="7"/>
  <c r="H160" i="7" s="1"/>
  <c r="G96" i="7"/>
  <c r="H96" i="7"/>
  <c r="H172" i="7"/>
  <c r="H140" i="7"/>
  <c r="H108" i="7"/>
  <c r="H2" i="7"/>
  <c r="H194" i="7"/>
  <c r="H178" i="7"/>
  <c r="H170" i="7"/>
  <c r="H162" i="7"/>
  <c r="H154" i="7"/>
  <c r="H146" i="7"/>
  <c r="H138" i="7"/>
  <c r="H130" i="7"/>
  <c r="H114" i="7"/>
  <c r="H106" i="7"/>
  <c r="H98" i="7"/>
  <c r="H90" i="7"/>
  <c r="H82" i="7"/>
  <c r="H74" i="7"/>
  <c r="H66" i="7"/>
  <c r="H50" i="7"/>
  <c r="H42" i="7"/>
  <c r="H34" i="7"/>
  <c r="H26" i="7"/>
  <c r="H18" i="7"/>
  <c r="H10" i="7"/>
  <c r="H81" i="7"/>
  <c r="H144" i="7"/>
  <c r="G128" i="7"/>
  <c r="H128" i="7"/>
  <c r="H64" i="7"/>
  <c r="H48" i="7"/>
  <c r="H32" i="7"/>
  <c r="H8" i="7"/>
  <c r="G169" i="7"/>
  <c r="H169" i="7" s="1"/>
  <c r="G41" i="7"/>
  <c r="H41" i="7" s="1"/>
  <c r="G17" i="7"/>
  <c r="H17" i="7" s="1"/>
  <c r="H152" i="7"/>
  <c r="H129" i="7"/>
  <c r="H191" i="7"/>
  <c r="H175" i="7"/>
  <c r="H159" i="7"/>
  <c r="H143" i="7"/>
  <c r="H127" i="7"/>
  <c r="H111" i="7"/>
  <c r="H95" i="7"/>
  <c r="H79" i="7"/>
  <c r="H63" i="7"/>
  <c r="H47" i="7"/>
  <c r="H31" i="7"/>
  <c r="G7" i="7"/>
  <c r="H7" i="7" s="1"/>
  <c r="G168" i="7"/>
  <c r="H168" i="7" s="1"/>
  <c r="G112" i="7"/>
  <c r="H112" i="7" s="1"/>
  <c r="G80" i="7"/>
  <c r="H80" i="7" s="1"/>
  <c r="G40" i="7"/>
  <c r="G16" i="7"/>
  <c r="H16" i="7" s="1"/>
  <c r="H151" i="7"/>
  <c r="H23" i="7"/>
  <c r="H198" i="7"/>
  <c r="H190" i="7"/>
  <c r="G182" i="7"/>
  <c r="H182" i="7" s="1"/>
  <c r="H174" i="7"/>
  <c r="H158" i="7"/>
  <c r="G150" i="7"/>
  <c r="H150" i="7" s="1"/>
  <c r="H142" i="7"/>
  <c r="H134" i="7"/>
  <c r="H126" i="7"/>
  <c r="G118" i="7"/>
  <c r="H118" i="7" s="1"/>
  <c r="H102" i="7"/>
  <c r="G86" i="7"/>
  <c r="H86" i="7" s="1"/>
  <c r="H78" i="7"/>
  <c r="G78" i="7"/>
  <c r="G70" i="7"/>
  <c r="H70" i="7" s="1"/>
  <c r="G62" i="7"/>
  <c r="H62" i="7" s="1"/>
  <c r="G54" i="7"/>
  <c r="H54" i="7" s="1"/>
  <c r="H46" i="7"/>
  <c r="G46" i="7"/>
  <c r="G38" i="7"/>
  <c r="H38" i="7" s="1"/>
  <c r="G30" i="7"/>
  <c r="H30" i="7" s="1"/>
  <c r="G22" i="7"/>
  <c r="H22" i="7" s="1"/>
  <c r="H14" i="7"/>
  <c r="G14" i="7"/>
  <c r="G6" i="7"/>
  <c r="H6" i="7"/>
  <c r="G111" i="7"/>
  <c r="G95" i="7"/>
  <c r="G79" i="7"/>
  <c r="G15" i="7"/>
  <c r="H15" i="7" s="1"/>
  <c r="H193" i="7"/>
  <c r="H97" i="7"/>
  <c r="H71" i="7"/>
  <c r="H181" i="7"/>
  <c r="H173" i="7"/>
  <c r="H165" i="7"/>
  <c r="H157" i="7"/>
  <c r="H117" i="7"/>
  <c r="H109" i="7"/>
  <c r="H101" i="7"/>
  <c r="H93" i="7"/>
  <c r="H53" i="7"/>
  <c r="H45" i="7"/>
  <c r="H37" i="7"/>
  <c r="H29" i="7"/>
  <c r="G166" i="7"/>
  <c r="H166" i="7" s="1"/>
  <c r="G110" i="7"/>
  <c r="H110" i="7" s="1"/>
  <c r="G94" i="7"/>
  <c r="H94" i="7" s="1"/>
  <c r="G32" i="7"/>
  <c r="H192" i="7"/>
  <c r="H119" i="7"/>
  <c r="G172" i="7"/>
  <c r="G140" i="7"/>
  <c r="G108" i="7"/>
  <c r="H195" i="7"/>
  <c r="H187" i="7"/>
  <c r="H179" i="7"/>
  <c r="H163" i="7"/>
  <c r="H155" i="7"/>
  <c r="H147" i="7"/>
  <c r="H139" i="7"/>
  <c r="H131" i="7"/>
  <c r="H123" i="7"/>
  <c r="H115" i="7"/>
  <c r="H99" i="7"/>
  <c r="H91" i="7"/>
  <c r="G83" i="7"/>
  <c r="H83" i="7" s="1"/>
  <c r="G75" i="7"/>
  <c r="H75" i="7" s="1"/>
  <c r="H67" i="7"/>
  <c r="G67" i="7"/>
  <c r="G59" i="7"/>
  <c r="H59" i="7" s="1"/>
  <c r="G51" i="7"/>
  <c r="H51" i="7" s="1"/>
  <c r="G43" i="7"/>
  <c r="H43" i="7" s="1"/>
  <c r="H35" i="7"/>
  <c r="G35" i="7"/>
  <c r="G27" i="7"/>
  <c r="H27" i="7" s="1"/>
  <c r="G19" i="7"/>
  <c r="H19" i="7" s="1"/>
  <c r="G11" i="7"/>
  <c r="H11" i="7" s="1"/>
  <c r="H3" i="7"/>
  <c r="G3" i="7"/>
  <c r="G171" i="7"/>
  <c r="H171" i="7" s="1"/>
  <c r="G139" i="7"/>
  <c r="G107" i="7"/>
  <c r="H107" i="7" s="1"/>
  <c r="G4" i="7"/>
  <c r="H4" i="7" s="1"/>
  <c r="G2" i="7"/>
  <c r="G194" i="7"/>
  <c r="G186" i="7"/>
  <c r="H186" i="7" s="1"/>
  <c r="G178" i="7"/>
  <c r="G170" i="7"/>
  <c r="G162" i="7"/>
  <c r="G154" i="7"/>
  <c r="G146" i="7"/>
  <c r="G138" i="7"/>
  <c r="G130" i="7"/>
  <c r="G122" i="7"/>
  <c r="H122" i="7" s="1"/>
  <c r="G114" i="7"/>
  <c r="G106" i="7"/>
  <c r="G98" i="7"/>
  <c r="G90" i="7"/>
  <c r="G82" i="7"/>
  <c r="G74" i="7"/>
  <c r="G66" i="7"/>
  <c r="G58" i="7"/>
  <c r="H58" i="7" s="1"/>
  <c r="G50" i="7"/>
  <c r="G42" i="7"/>
  <c r="G34" i="7"/>
  <c r="G26" i="7"/>
  <c r="G18" i="7"/>
  <c r="G10" i="7"/>
  <c r="G197" i="7"/>
  <c r="H197" i="7" s="1"/>
  <c r="G189" i="7"/>
  <c r="H189" i="7" s="1"/>
  <c r="G181" i="7"/>
  <c r="G173" i="7"/>
  <c r="G165" i="7"/>
  <c r="G157" i="7"/>
  <c r="G149" i="7"/>
  <c r="H149" i="7" s="1"/>
  <c r="G141" i="7"/>
  <c r="H141" i="7" s="1"/>
  <c r="G133" i="7"/>
  <c r="H133" i="7" s="1"/>
  <c r="G125" i="7"/>
  <c r="H125" i="7" s="1"/>
  <c r="G117" i="7"/>
  <c r="G109" i="7"/>
  <c r="G101" i="7"/>
  <c r="G93" i="7"/>
  <c r="G85" i="7"/>
  <c r="H85" i="7" s="1"/>
  <c r="G77" i="7"/>
  <c r="H77" i="7" s="1"/>
  <c r="G69" i="7"/>
  <c r="H69" i="7" s="1"/>
  <c r="G61" i="7"/>
  <c r="H61" i="7" s="1"/>
  <c r="G53" i="7"/>
  <c r="G45" i="7"/>
  <c r="G37" i="7"/>
  <c r="G29" i="7"/>
  <c r="G21" i="7"/>
  <c r="H21" i="7" s="1"/>
  <c r="G13" i="7"/>
  <c r="H13" i="7" s="1"/>
  <c r="G5" i="7"/>
  <c r="H5" i="7" s="1"/>
</calcChain>
</file>

<file path=xl/sharedStrings.xml><?xml version="1.0" encoding="utf-8"?>
<sst xmlns="http://schemas.openxmlformats.org/spreadsheetml/2006/main" count="3739" uniqueCount="586">
  <si>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</si>
  <si>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</si>
  <si>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</si>
  <si>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</si>
  <si>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</si>
  <si>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</si>
  <si>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</si>
  <si>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</si>
  <si>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</si>
  <si>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</si>
  <si>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</si>
  <si>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</si>
  <si>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</si>
  <si>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2024-12-23</t>
  </si>
  <si>
    <t>Image</t>
  </si>
  <si>
    <t>#AppleWatchUltra2 #HealthTech</t>
  </si>
  <si>
    <t>Apple Watch Ultra 2 Launch</t>
  </si>
  <si>
    <t>A2</t>
  </si>
  <si>
    <t>#MacBookAirM3 #AppleInnovation</t>
  </si>
  <si>
    <t>Apple Event September 2025</t>
  </si>
  <si>
    <t>A3</t>
  </si>
  <si>
    <t>Instagram</t>
  </si>
  <si>
    <t>2025-05-12</t>
  </si>
  <si>
    <t>Tweet</t>
  </si>
  <si>
    <t>#AppleDesign #Innovation</t>
  </si>
  <si>
    <t>Sustainability Awareness Drive</t>
  </si>
  <si>
    <t>A4</t>
  </si>
  <si>
    <t>2024-08-12</t>
  </si>
  <si>
    <t>Video</t>
  </si>
  <si>
    <t>#AppleEvent #iPadPro</t>
  </si>
  <si>
    <t>iPhone 16 Launch</t>
  </si>
  <si>
    <t>A5</t>
  </si>
  <si>
    <t>A6</t>
  </si>
  <si>
    <t>#ShotOniPhone</t>
  </si>
  <si>
    <t>A7</t>
  </si>
  <si>
    <t>2024-06-24</t>
  </si>
  <si>
    <t>Carousel</t>
  </si>
  <si>
    <t>#AppleMusic #AppleLifestyle</t>
  </si>
  <si>
    <t>A8</t>
  </si>
  <si>
    <t>2024-07-13</t>
  </si>
  <si>
    <t>#AppleWatch #Health</t>
  </si>
  <si>
    <t>A9</t>
  </si>
  <si>
    <t>2024-08-30</t>
  </si>
  <si>
    <t>A10</t>
  </si>
  <si>
    <t>Twitter</t>
  </si>
  <si>
    <t>2025-03-11</t>
  </si>
  <si>
    <t>#iPhone16Launch #AppleEvent</t>
  </si>
  <si>
    <t>A11</t>
  </si>
  <si>
    <t>2025-02-02</t>
  </si>
  <si>
    <t>A12</t>
  </si>
  <si>
    <t>2024-07-21</t>
  </si>
  <si>
    <t>A13</t>
  </si>
  <si>
    <t>2024-11-18</t>
  </si>
  <si>
    <t>MacBook Air M3 Campaign</t>
  </si>
  <si>
    <t>A14</t>
  </si>
  <si>
    <t>A15</t>
  </si>
  <si>
    <t>A16</t>
  </si>
  <si>
    <t>2024-08-26</t>
  </si>
  <si>
    <t>A17</t>
  </si>
  <si>
    <t>2025-05-05</t>
  </si>
  <si>
    <t>#AppleEvent #iPhone16</t>
  </si>
  <si>
    <t>A18</t>
  </si>
  <si>
    <t>2024-08-19</t>
  </si>
  <si>
    <t>A19</t>
  </si>
  <si>
    <t>2024-06-23</t>
  </si>
  <si>
    <t>A20</t>
  </si>
  <si>
    <t>2024-09-09</t>
  </si>
  <si>
    <t>A21</t>
  </si>
  <si>
    <t>#iPhonePhotography #ShotOniPhone</t>
  </si>
  <si>
    <t>A22</t>
  </si>
  <si>
    <t>2025-02-27</t>
  </si>
  <si>
    <t>A23</t>
  </si>
  <si>
    <t>2024-11-06</t>
  </si>
  <si>
    <t>A24</t>
  </si>
  <si>
    <t>2025-01-23</t>
  </si>
  <si>
    <t>A25</t>
  </si>
  <si>
    <t>A26</t>
  </si>
  <si>
    <t>2025-04-05</t>
  </si>
  <si>
    <t>A27</t>
  </si>
  <si>
    <t>2024-09-17</t>
  </si>
  <si>
    <t>A28</t>
  </si>
  <si>
    <t>2025-03-04</t>
  </si>
  <si>
    <t>A29</t>
  </si>
  <si>
    <t>#MacBookProM3</t>
  </si>
  <si>
    <t>A30</t>
  </si>
  <si>
    <t>2025-02-25</t>
  </si>
  <si>
    <t>A31</t>
  </si>
  <si>
    <t>2024-12-16</t>
  </si>
  <si>
    <t>A32</t>
  </si>
  <si>
    <t>2024-07-31</t>
  </si>
  <si>
    <t>A33</t>
  </si>
  <si>
    <t>A34</t>
  </si>
  <si>
    <t>A35</t>
  </si>
  <si>
    <t>2024-11-30</t>
  </si>
  <si>
    <t>A36</t>
  </si>
  <si>
    <t>2025-04-19</t>
  </si>
  <si>
    <t>A37</t>
  </si>
  <si>
    <t>2025-01-06</t>
  </si>
  <si>
    <t>A38</t>
  </si>
  <si>
    <t>2025-02-17</t>
  </si>
  <si>
    <t>A39</t>
  </si>
  <si>
    <t>A40</t>
  </si>
  <si>
    <t>A41</t>
  </si>
  <si>
    <t>A42</t>
  </si>
  <si>
    <t>2025-03-05</t>
  </si>
  <si>
    <t>A43</t>
  </si>
  <si>
    <t>A44</t>
  </si>
  <si>
    <t>2025-03-02</t>
  </si>
  <si>
    <t>A45</t>
  </si>
  <si>
    <t>A46</t>
  </si>
  <si>
    <t>2025-05-02</t>
  </si>
  <si>
    <t>A47</t>
  </si>
  <si>
    <t>2025-02-24</t>
  </si>
  <si>
    <t>A48</t>
  </si>
  <si>
    <t>A49</t>
  </si>
  <si>
    <t>A50</t>
  </si>
  <si>
    <t>2024-07-03</t>
  </si>
  <si>
    <t>A51</t>
  </si>
  <si>
    <t>2024-06-13</t>
  </si>
  <si>
    <t>A52</t>
  </si>
  <si>
    <t>A53</t>
  </si>
  <si>
    <t>A54</t>
  </si>
  <si>
    <t>2025-03-13</t>
  </si>
  <si>
    <t>A55</t>
  </si>
  <si>
    <t>2024-06-17</t>
  </si>
  <si>
    <t>A56</t>
  </si>
  <si>
    <t>2024-12-18</t>
  </si>
  <si>
    <t>A57</t>
  </si>
  <si>
    <t>2024-10-21</t>
  </si>
  <si>
    <t>A58</t>
  </si>
  <si>
    <t>2025-04-15</t>
  </si>
  <si>
    <t>A59</t>
  </si>
  <si>
    <t>2024-06-22</t>
  </si>
  <si>
    <t>A60</t>
  </si>
  <si>
    <t>2025-01-28</t>
  </si>
  <si>
    <t>A61</t>
  </si>
  <si>
    <t>2024-09-05</t>
  </si>
  <si>
    <t>A62</t>
  </si>
  <si>
    <t>A63</t>
  </si>
  <si>
    <t>A64</t>
  </si>
  <si>
    <t>2024-08-17</t>
  </si>
  <si>
    <t>A65</t>
  </si>
  <si>
    <t>2025-03-28</t>
  </si>
  <si>
    <t>A66</t>
  </si>
  <si>
    <t>2024-07-26</t>
  </si>
  <si>
    <t>A67</t>
  </si>
  <si>
    <t>2025-03-29</t>
  </si>
  <si>
    <t>A68</t>
  </si>
  <si>
    <t>2024-12-08</t>
  </si>
  <si>
    <t>A69</t>
  </si>
  <si>
    <t>2025-03-08</t>
  </si>
  <si>
    <t>A70</t>
  </si>
  <si>
    <t>2025-04-02</t>
  </si>
  <si>
    <t>A71</t>
  </si>
  <si>
    <t>2024-09-02</t>
  </si>
  <si>
    <t>A72</t>
  </si>
  <si>
    <t>2025-03-03</t>
  </si>
  <si>
    <t>A73</t>
  </si>
  <si>
    <t>A74</t>
  </si>
  <si>
    <t>2024-10-28</t>
  </si>
  <si>
    <t>A75</t>
  </si>
  <si>
    <t>2024-08-01</t>
  </si>
  <si>
    <t>A76</t>
  </si>
  <si>
    <t>2024-11-07</t>
  </si>
  <si>
    <t>A77</t>
  </si>
  <si>
    <t>A78</t>
  </si>
  <si>
    <t>A79</t>
  </si>
  <si>
    <t>#Sustainability #AppleEarth</t>
  </si>
  <si>
    <t>A80</t>
  </si>
  <si>
    <t>A81</t>
  </si>
  <si>
    <t>2024-10-19</t>
  </si>
  <si>
    <t>A82</t>
  </si>
  <si>
    <t>2024-07-24</t>
  </si>
  <si>
    <t>A83</t>
  </si>
  <si>
    <t>2024-10-15</t>
  </si>
  <si>
    <t>A84</t>
  </si>
  <si>
    <t>2024-12-09</t>
  </si>
  <si>
    <t>A85</t>
  </si>
  <si>
    <t>A86</t>
  </si>
  <si>
    <t>2025-01-27</t>
  </si>
  <si>
    <t>A87</t>
  </si>
  <si>
    <t>2024-06-06</t>
  </si>
  <si>
    <t>A88</t>
  </si>
  <si>
    <t>2024-07-07</t>
  </si>
  <si>
    <t>A89</t>
  </si>
  <si>
    <t>A90</t>
  </si>
  <si>
    <t>2024-06-03</t>
  </si>
  <si>
    <t>A91</t>
  </si>
  <si>
    <t>A92</t>
  </si>
  <si>
    <t>A93</t>
  </si>
  <si>
    <t>2024-12-11</t>
  </si>
  <si>
    <t>A94</t>
  </si>
  <si>
    <t>A95</t>
  </si>
  <si>
    <t>2024-11-08</t>
  </si>
  <si>
    <t>A96</t>
  </si>
  <si>
    <t>2024-09-10</t>
  </si>
  <si>
    <t>A97</t>
  </si>
  <si>
    <t>2024-08-13</t>
  </si>
  <si>
    <t>A98</t>
  </si>
  <si>
    <t>2024-06-10</t>
  </si>
  <si>
    <t>A99</t>
  </si>
  <si>
    <t>2024-07-02</t>
  </si>
  <si>
    <t>A100</t>
  </si>
  <si>
    <t>A101</t>
  </si>
  <si>
    <t>2024-10-18</t>
  </si>
  <si>
    <t>A102</t>
  </si>
  <si>
    <t>A103</t>
  </si>
  <si>
    <t>A104</t>
  </si>
  <si>
    <t>2025-03-23</t>
  </si>
  <si>
    <t>A105</t>
  </si>
  <si>
    <t>2024-06-14</t>
  </si>
  <si>
    <t>A106</t>
  </si>
  <si>
    <t>2025-02-04</t>
  </si>
  <si>
    <t>A107</t>
  </si>
  <si>
    <t>2024-06-21</t>
  </si>
  <si>
    <t>A108</t>
  </si>
  <si>
    <t>A109</t>
  </si>
  <si>
    <t>2024-08-08</t>
  </si>
  <si>
    <t>A110</t>
  </si>
  <si>
    <t>2024-07-29</t>
  </si>
  <si>
    <t>A111</t>
  </si>
  <si>
    <t>2024-11-23</t>
  </si>
  <si>
    <t>A112</t>
  </si>
  <si>
    <t>2024-10-05</t>
  </si>
  <si>
    <t>A113</t>
  </si>
  <si>
    <t>A114</t>
  </si>
  <si>
    <t>2024-11-14</t>
  </si>
  <si>
    <t>A115</t>
  </si>
  <si>
    <t>A116</t>
  </si>
  <si>
    <t>2025-03-18</t>
  </si>
  <si>
    <t>A117</t>
  </si>
  <si>
    <t>2024-11-04</t>
  </si>
  <si>
    <t>A118</t>
  </si>
  <si>
    <t>A119</t>
  </si>
  <si>
    <t>2025-02-07</t>
  </si>
  <si>
    <t>A120</t>
  </si>
  <si>
    <t>A121</t>
  </si>
  <si>
    <t>A122</t>
  </si>
  <si>
    <t>2024-10-02</t>
  </si>
  <si>
    <t>A123</t>
  </si>
  <si>
    <t>A124</t>
  </si>
  <si>
    <t>2025-04-06</t>
  </si>
  <si>
    <t>A125</t>
  </si>
  <si>
    <t>2024-09-08</t>
  </si>
  <si>
    <t>A126</t>
  </si>
  <si>
    <t>A127</t>
  </si>
  <si>
    <t>A128</t>
  </si>
  <si>
    <t>2025-01-10</t>
  </si>
  <si>
    <t>A129</t>
  </si>
  <si>
    <t>A130</t>
  </si>
  <si>
    <t>2024-09-29</t>
  </si>
  <si>
    <t>A131</t>
  </si>
  <si>
    <t>A132</t>
  </si>
  <si>
    <t>A133</t>
  </si>
  <si>
    <t>2025-02-06</t>
  </si>
  <si>
    <t>A134</t>
  </si>
  <si>
    <t>A135</t>
  </si>
  <si>
    <t>2024-11-28</t>
  </si>
  <si>
    <t>A136</t>
  </si>
  <si>
    <t>A137</t>
  </si>
  <si>
    <t>A138</t>
  </si>
  <si>
    <t>A139</t>
  </si>
  <si>
    <t>2024-10-29</t>
  </si>
  <si>
    <t>A140</t>
  </si>
  <si>
    <t>2024-07-15</t>
  </si>
  <si>
    <t>A141</t>
  </si>
  <si>
    <t>A142</t>
  </si>
  <si>
    <t>2025-03-25</t>
  </si>
  <si>
    <t>A143</t>
  </si>
  <si>
    <t>A144</t>
  </si>
  <si>
    <t>A145</t>
  </si>
  <si>
    <t>A146</t>
  </si>
  <si>
    <t>2024-06-05</t>
  </si>
  <si>
    <t>A147</t>
  </si>
  <si>
    <t>A148</t>
  </si>
  <si>
    <t>A149</t>
  </si>
  <si>
    <t>2024-06-16</t>
  </si>
  <si>
    <t>A150</t>
  </si>
  <si>
    <t>2024-08-22</t>
  </si>
  <si>
    <t>A151</t>
  </si>
  <si>
    <t>A152</t>
  </si>
  <si>
    <t>A153</t>
  </si>
  <si>
    <t>2025-01-01</t>
  </si>
  <si>
    <t>A154</t>
  </si>
  <si>
    <t>2024-10-09</t>
  </si>
  <si>
    <t>A155</t>
  </si>
  <si>
    <t>2024-12-21</t>
  </si>
  <si>
    <t>A156</t>
  </si>
  <si>
    <t>2024-10-22</t>
  </si>
  <si>
    <t>A157</t>
  </si>
  <si>
    <t>2024-07-23</t>
  </si>
  <si>
    <t>A158</t>
  </si>
  <si>
    <t>2024-08-11</t>
  </si>
  <si>
    <t>A159</t>
  </si>
  <si>
    <t>A160</t>
  </si>
  <si>
    <t>2024-08-24</t>
  </si>
  <si>
    <t>A161</t>
  </si>
  <si>
    <t>A162</t>
  </si>
  <si>
    <t>2025-04-01</t>
  </si>
  <si>
    <t>A163</t>
  </si>
  <si>
    <t>2025-04-08</t>
  </si>
  <si>
    <t>A164</t>
  </si>
  <si>
    <t>A165</t>
  </si>
  <si>
    <t>A166</t>
  </si>
  <si>
    <t>2025-02-16</t>
  </si>
  <si>
    <t>A167</t>
  </si>
  <si>
    <t>A168</t>
  </si>
  <si>
    <t>2024-11-12</t>
  </si>
  <si>
    <t>A169</t>
  </si>
  <si>
    <t>2024-12-03</t>
  </si>
  <si>
    <t>A170</t>
  </si>
  <si>
    <t>2025-04-28</t>
  </si>
  <si>
    <t>A171</t>
  </si>
  <si>
    <t>2024-12-31</t>
  </si>
  <si>
    <t>A172</t>
  </si>
  <si>
    <t>2024-08-14</t>
  </si>
  <si>
    <t>A173</t>
  </si>
  <si>
    <t>2024-12-05</t>
  </si>
  <si>
    <t>A174</t>
  </si>
  <si>
    <t>A175</t>
  </si>
  <si>
    <t>A176</t>
  </si>
  <si>
    <t>A177</t>
  </si>
  <si>
    <t>2024-07-10</t>
  </si>
  <si>
    <t>A178</t>
  </si>
  <si>
    <t>A179</t>
  </si>
  <si>
    <t>A180</t>
  </si>
  <si>
    <t>A181</t>
  </si>
  <si>
    <t>A182</t>
  </si>
  <si>
    <t>A183</t>
  </si>
  <si>
    <t>2024-12-17</t>
  </si>
  <si>
    <t>A184</t>
  </si>
  <si>
    <t>A185</t>
  </si>
  <si>
    <t>2025-01-11</t>
  </si>
  <si>
    <t>A186</t>
  </si>
  <si>
    <t>A187</t>
  </si>
  <si>
    <t>2024-12-22</t>
  </si>
  <si>
    <t>A188</t>
  </si>
  <si>
    <t>A189</t>
  </si>
  <si>
    <t>2025-03-24</t>
  </si>
  <si>
    <t>A190</t>
  </si>
  <si>
    <t>2024-10-04</t>
  </si>
  <si>
    <t>A191</t>
  </si>
  <si>
    <t>A192</t>
  </si>
  <si>
    <t>A193</t>
  </si>
  <si>
    <t>2024-09-11</t>
  </si>
  <si>
    <t>A194</t>
  </si>
  <si>
    <t>A195</t>
  </si>
  <si>
    <t>2024-08-15</t>
  </si>
  <si>
    <t>A196</t>
  </si>
  <si>
    <t>A197</t>
  </si>
  <si>
    <t>A198</t>
  </si>
  <si>
    <t>A199</t>
  </si>
  <si>
    <t>A200</t>
  </si>
  <si>
    <t>2025-04-07</t>
  </si>
  <si>
    <t>A201</t>
  </si>
  <si>
    <t>2025-01-15</t>
  </si>
  <si>
    <t>A202</t>
  </si>
  <si>
    <t>A203</t>
  </si>
  <si>
    <t>2024-11-21</t>
  </si>
  <si>
    <t>A204</t>
  </si>
  <si>
    <t>A205</t>
  </si>
  <si>
    <t>A206</t>
  </si>
  <si>
    <t>A207</t>
  </si>
  <si>
    <t>2024-12-29</t>
  </si>
  <si>
    <t>A208</t>
  </si>
  <si>
    <t>A209</t>
  </si>
  <si>
    <t>2025-03-19</t>
  </si>
  <si>
    <t>A210</t>
  </si>
  <si>
    <t>2025-02-19</t>
  </si>
  <si>
    <t>A211</t>
  </si>
  <si>
    <t>A212</t>
  </si>
  <si>
    <t>A213</t>
  </si>
  <si>
    <t>2025-05-01</t>
  </si>
  <si>
    <t>A214</t>
  </si>
  <si>
    <t>A215</t>
  </si>
  <si>
    <t>A216</t>
  </si>
  <si>
    <t>A217</t>
  </si>
  <si>
    <t>A218</t>
  </si>
  <si>
    <t>2024-06-11</t>
  </si>
  <si>
    <t>A219</t>
  </si>
  <si>
    <t>A220</t>
  </si>
  <si>
    <t>2024-06-02</t>
  </si>
  <si>
    <t>A221</t>
  </si>
  <si>
    <t>A222</t>
  </si>
  <si>
    <t>2024-10-08</t>
  </si>
  <si>
    <t>A223</t>
  </si>
  <si>
    <t>A224</t>
  </si>
  <si>
    <t>A225</t>
  </si>
  <si>
    <t>2024-06-20</t>
  </si>
  <si>
    <t>A226</t>
  </si>
  <si>
    <t>A227</t>
  </si>
  <si>
    <t>2024-06-12</t>
  </si>
  <si>
    <t>A228</t>
  </si>
  <si>
    <t>2024-07-01</t>
  </si>
  <si>
    <t>A229</t>
  </si>
  <si>
    <t>A230</t>
  </si>
  <si>
    <t>A231</t>
  </si>
  <si>
    <t>A232</t>
  </si>
  <si>
    <t>2025-04-29</t>
  </si>
  <si>
    <t>A233</t>
  </si>
  <si>
    <t>A234</t>
  </si>
  <si>
    <t>2024-06-01</t>
  </si>
  <si>
    <t>A235</t>
  </si>
  <si>
    <t>A236</t>
  </si>
  <si>
    <t>A237</t>
  </si>
  <si>
    <t>A238</t>
  </si>
  <si>
    <t>2024-07-16</t>
  </si>
  <si>
    <t>A239</t>
  </si>
  <si>
    <t>A240</t>
  </si>
  <si>
    <t>A241</t>
  </si>
  <si>
    <t>2025-01-18</t>
  </si>
  <si>
    <t>A242</t>
  </si>
  <si>
    <t>A243</t>
  </si>
  <si>
    <t>2025-03-06</t>
  </si>
  <si>
    <t>A244</t>
  </si>
  <si>
    <t>A245</t>
  </si>
  <si>
    <t>2025-01-12</t>
  </si>
  <si>
    <t>A246</t>
  </si>
  <si>
    <t>2024-10-11</t>
  </si>
  <si>
    <t>A247</t>
  </si>
  <si>
    <t>2024-08-27</t>
  </si>
  <si>
    <t>A248</t>
  </si>
  <si>
    <t>A249</t>
  </si>
  <si>
    <t>2024-07-18</t>
  </si>
  <si>
    <t>A250</t>
  </si>
  <si>
    <t>A251</t>
  </si>
  <si>
    <t>A252</t>
  </si>
  <si>
    <t>A253</t>
  </si>
  <si>
    <t>A254</t>
  </si>
  <si>
    <t>2025-01-14</t>
  </si>
  <si>
    <t>A255</t>
  </si>
  <si>
    <t>2025-04-03</t>
  </si>
  <si>
    <t>A256</t>
  </si>
  <si>
    <t>A257</t>
  </si>
  <si>
    <t>A258</t>
  </si>
  <si>
    <t>2024-08-05</t>
  </si>
  <si>
    <t>A259</t>
  </si>
  <si>
    <t>2025-02-10</t>
  </si>
  <si>
    <t>A260</t>
  </si>
  <si>
    <t>2025-02-12</t>
  </si>
  <si>
    <t>A261</t>
  </si>
  <si>
    <t>2024-10-27</t>
  </si>
  <si>
    <t>A262</t>
  </si>
  <si>
    <t>A263</t>
  </si>
  <si>
    <t>2024-08-20</t>
  </si>
  <si>
    <t>A264</t>
  </si>
  <si>
    <t>2025-01-30</t>
  </si>
  <si>
    <t>A265</t>
  </si>
  <si>
    <t>2025-02-20</t>
  </si>
  <si>
    <t>A266</t>
  </si>
  <si>
    <t>2024-11-25</t>
  </si>
  <si>
    <t>A267</t>
  </si>
  <si>
    <t>A268</t>
  </si>
  <si>
    <t>2025-04-13</t>
  </si>
  <si>
    <t>A269</t>
  </si>
  <si>
    <t>2024-11-05</t>
  </si>
  <si>
    <t>A270</t>
  </si>
  <si>
    <t>A271</t>
  </si>
  <si>
    <t>2024-10-17</t>
  </si>
  <si>
    <t>A272</t>
  </si>
  <si>
    <t>2025-03-27</t>
  </si>
  <si>
    <t>A273</t>
  </si>
  <si>
    <t>2024-10-12</t>
  </si>
  <si>
    <t>A274</t>
  </si>
  <si>
    <t>A275</t>
  </si>
  <si>
    <t>A276</t>
  </si>
  <si>
    <t>2024-06-07</t>
  </si>
  <si>
    <t>A277</t>
  </si>
  <si>
    <t>A278</t>
  </si>
  <si>
    <t>2024-11-26</t>
  </si>
  <si>
    <t>A279</t>
  </si>
  <si>
    <t>A280</t>
  </si>
  <si>
    <t>A281</t>
  </si>
  <si>
    <t>2025-03-22</t>
  </si>
  <si>
    <t>A282</t>
  </si>
  <si>
    <t>2024-10-03</t>
  </si>
  <si>
    <t>A283</t>
  </si>
  <si>
    <t>2025-05-09</t>
  </si>
  <si>
    <t>A284</t>
  </si>
  <si>
    <t>A285</t>
  </si>
  <si>
    <t>A286</t>
  </si>
  <si>
    <t>A287</t>
  </si>
  <si>
    <t>A288</t>
  </si>
  <si>
    <t>2025-04-17</t>
  </si>
  <si>
    <t>A289</t>
  </si>
  <si>
    <t>A290</t>
  </si>
  <si>
    <t>A291</t>
  </si>
  <si>
    <t>A292</t>
  </si>
  <si>
    <t>2024-11-17</t>
  </si>
  <si>
    <t>A293</t>
  </si>
  <si>
    <t>2025-05-14</t>
  </si>
  <si>
    <t>A294</t>
  </si>
  <si>
    <t>2024-06-19</t>
  </si>
  <si>
    <t>A295</t>
  </si>
  <si>
    <t>2025-05-06</t>
  </si>
  <si>
    <t>A296</t>
  </si>
  <si>
    <t>2025-02-11</t>
  </si>
  <si>
    <t>A297</t>
  </si>
  <si>
    <t>2024-12-24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</si>
  <si>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</si>
  <si>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</si>
  <si>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</si>
  <si>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</si>
  <si>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</si>
  <si>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</si>
  <si>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</si>
  <si>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</si>
  <si>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</si>
  <si>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</si>
  <si>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</si>
  <si>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</si>
  <si>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</si>
  <si>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</si>
  <si>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</si>
  <si>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</si>
  <si>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</si>
  <si>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</si>
  <si>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</si>
  <si>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</si>
  <si>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</si>
  <si>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</si>
  <si>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</si>
  <si>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</si>
  <si>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</si>
  <si>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</si>
  <si>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</si>
  <si>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Campaign_Name</t>
  </si>
  <si>
    <t>Start_Date</t>
  </si>
  <si>
    <t>End_Date</t>
  </si>
  <si>
    <t>Objective</t>
  </si>
  <si>
    <t>Engagement_Uplift</t>
  </si>
  <si>
    <t>2024-06-15</t>
  </si>
  <si>
    <t>Product Launch</t>
  </si>
  <si>
    <t>2024-10-01</t>
  </si>
  <si>
    <t>2024-10-31</t>
  </si>
  <si>
    <t>Product Promotion</t>
  </si>
  <si>
    <t>2024-12-25</t>
  </si>
  <si>
    <t>Health &amp; Fitness Awareness</t>
  </si>
  <si>
    <t>2025-03-01</t>
  </si>
  <si>
    <t>Sustainability Branding</t>
  </si>
  <si>
    <t>Brand Engagement</t>
  </si>
  <si>
    <t>Youtube</t>
  </si>
  <si>
    <t>Linkedin</t>
  </si>
  <si>
    <t>#AppleWatchUltra2</t>
  </si>
  <si>
    <t>#HealthTech</t>
  </si>
  <si>
    <t>#MacBookAirM3</t>
  </si>
  <si>
    <t>#AppleInnovation</t>
  </si>
  <si>
    <t>#AppleDesign</t>
  </si>
  <si>
    <t>#Innovation</t>
  </si>
  <si>
    <t>#AppleEvent</t>
  </si>
  <si>
    <t>#iPadPro</t>
  </si>
  <si>
    <t>#AppleMusic</t>
  </si>
  <si>
    <t>#AppleLifestyle</t>
  </si>
  <si>
    <t>#AppleWatch</t>
  </si>
  <si>
    <t>#Health</t>
  </si>
  <si>
    <t>#iPhone16Launch</t>
  </si>
  <si>
    <t>#iPhone16</t>
  </si>
  <si>
    <t>#iPhonePhotography</t>
  </si>
  <si>
    <t>#Sustainability</t>
  </si>
  <si>
    <t>#AppleEarth</t>
  </si>
  <si>
    <t>Hashtag_1</t>
  </si>
  <si>
    <t>Hashtag_2</t>
  </si>
  <si>
    <t>Row Labels</t>
  </si>
  <si>
    <t>Column Labels</t>
  </si>
  <si>
    <t>Sum of New_Followers</t>
  </si>
  <si>
    <t>Visualize weekly follower growth per platform (line chart).</t>
  </si>
  <si>
    <t>Insights :-</t>
  </si>
  <si>
    <t>LinkedIn showed large follower spikes during professional event periods</t>
  </si>
  <si>
    <t>YouTube displayed stable follower growth across the entire period</t>
  </si>
  <si>
    <t>Twitter showed burst-type growth during certain weeks</t>
  </si>
  <si>
    <t>Instagram maintained moderate, steady growth</t>
  </si>
  <si>
    <t>&lt;- Peak Week</t>
  </si>
  <si>
    <t>The week starting on 2024-07-22 recorded the highest follower growth, with a total of 35,220 new</t>
  </si>
  <si>
    <t>followers across platforms, making it the peak week of follower gain in the dataset.</t>
  </si>
  <si>
    <t>Identify the peak week of follower gain.</t>
  </si>
  <si>
    <t>Net Followers Gain</t>
  </si>
  <si>
    <t>Previous_Total_Followers</t>
  </si>
  <si>
    <t xml:space="preserve">Follower Growth Rate </t>
  </si>
  <si>
    <t xml:space="preserve">Average of Follower Growth Rate </t>
  </si>
  <si>
    <t xml:space="preserve">The weekly follower growth rate shows a strong spike during the early campaign periods but gradually declines and stabilizes over time. </t>
  </si>
  <si>
    <t xml:space="preserve">The 3-point moving average confirms a long-term downward trend in follower acceleration, indicating that initial campaign momentum </t>
  </si>
  <si>
    <t>reduced over time and the audience transitioned into a steady retention phase</t>
  </si>
  <si>
    <t>Final Insight</t>
  </si>
  <si>
    <t>Follower Growth</t>
  </si>
  <si>
    <t>correlation :-</t>
  </si>
  <si>
    <t>The correlation between Ad Spend and Follower Growth is extremely weak and close to zero (r = 0.0178), indicating almost no measurable relationship between the two variables.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</si>
</sst>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yyyy\-mm\-dd"/>
    <numFmt numFmtId="166" formatCode="[$-14009]yyyy/mm/dd;@"/>
  </numFmts>
  <fonts count="11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/>
    </xf>
    <xf numFmtId="0" fontId="0" fillId="0" borderId="0" xfId="0" pivotButton="1"/>
    <xf numFmtId="0" fontId="0" fillId="0" borderId="5" xfId="0" pivotButton="1" applyBorder="1"/>
    <xf numFmtId="0" fontId="0" fillId="0" borderId="5" xfId="0" applyBorder="1"/>
    <xf numFmtId="0" fontId="4" fillId="2" borderId="5" xfId="0" applyFont="1" applyFill="1" applyBorder="1" applyAlignment="1">
      <alignment horizontal="left"/>
    </xf>
    <xf numFmtId="1" fontId="4" fillId="2" borderId="5" xfId="0" applyNumberFormat="1" applyFont="1" applyFill="1" applyBorder="1"/>
    <xf numFmtId="0" fontId="6" fillId="0" borderId="0" xfId="0" applyFont="1"/>
    <xf numFmtId="0" fontId="0" fillId="4" borderId="0" xfId="0" applyFill="1"/>
    <xf numFmtId="0" fontId="0" fillId="0" borderId="6" xfId="0" pivotButton="1" applyBorder="1"/>
    <xf numFmtId="0" fontId="4" fillId="0" borderId="5" xfId="0" applyFont="1" applyBorder="1" applyAlignment="1">
      <alignment horizontal="left"/>
    </xf>
    <xf numFmtId="1" fontId="4" fillId="0" borderId="5" xfId="0" applyNumberFormat="1" applyFont="1" applyBorder="1"/>
    <xf numFmtId="0" fontId="4" fillId="6" borderId="5" xfId="0" applyFont="1" applyFill="1" applyBorder="1" applyAlignment="1">
      <alignment horizontal="left"/>
    </xf>
    <xf numFmtId="1" fontId="4" fillId="6" borderId="5" xfId="0" applyNumberFormat="1" applyFont="1" applyFill="1" applyBorder="1"/>
    <xf numFmtId="0" fontId="9" fillId="0" borderId="1" xfId="0" applyFont="1" applyBorder="1" applyAlignment="1">
      <alignment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/>
    <xf numFmtId="2" fontId="8" fillId="0" borderId="0" xfId="0" applyNumberFormat="1" applyFont="1"/>
    <xf numFmtId="1" fontId="2" fillId="8" borderId="0" xfId="0" applyNumberFormat="1" applyFont="1" applyFill="1" applyAlignment="1">
      <alignment horizontal="center" vertical="center"/>
    </xf>
    <xf numFmtId="2" fontId="2" fillId="8" borderId="0" xfId="0" applyNumberFormat="1" applyFont="1" applyFill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4" fillId="8" borderId="5" xfId="0" applyFont="1" applyFill="1" applyBorder="1" applyAlignment="1">
      <alignment horizontal="center"/>
    </xf>
    <xf numFmtId="0" fontId="9" fillId="8" borderId="5" xfId="0" applyFont="1" applyFill="1" applyBorder="1" applyAlignment="1">
      <alignment horizontal="center" vertical="center"/>
    </xf>
    <xf numFmtId="0" fontId="4" fillId="6" borderId="0" xfId="0" applyFont="1" applyFill="1"/>
    <xf numFmtId="0" fontId="0" fillId="6" borderId="0" xfId="0" applyFill="1"/>
    <xf numFmtId="0" fontId="1" fillId="6" borderId="1" xfId="0" applyFont="1" applyFill="1" applyBorder="1" applyAlignment="1">
      <alignment horizontal="center" vertical="center"/>
    </xf>
    <xf numFmtId="1" fontId="2" fillId="6" borderId="0" xfId="0" applyNumberFormat="1" applyFont="1" applyFill="1" applyAlignment="1">
      <alignment horizontal="center" vertical="center"/>
    </xf>
    <xf numFmtId="0" fontId="6" fillId="4" borderId="0" xfId="0" applyFont="1" applyFill="1"/>
    <xf numFmtId="0" fontId="5" fillId="3" borderId="0" xfId="0" applyFont="1" applyFill="1"/>
    <xf numFmtId="0" fontId="5" fillId="5" borderId="0" xfId="0" applyFont="1" applyFill="1"/>
    <xf numFmtId="0" fontId="8" fillId="7" borderId="0" xfId="0" applyFont="1" applyFill="1"/>
    <xf numFmtId="0" fontId="0" fillId="0" borderId="0" xfId="0"/>
    <xf numFmtId="0" fontId="5" fillId="6" borderId="0" xfId="0" applyFont="1" applyFill="1"/>
    <xf numFmtId="0" fontId="7" fillId="0" borderId="7" xfId="0" applyFont="1" applyBorder="1"/>
    <xf numFmtId="0" fontId="7" fillId="0" borderId="0" xfId="0" applyFont="1"/>
    <xf numFmtId="0" fontId="10" fillId="8" borderId="0" xfId="0" applyFont="1" applyFill="1"/>
    <xf numFmtId="2" fontId="10" fillId="8" borderId="0" xfId="0" applyNumberFormat="1" applyFont="1" applyFill="1"/>
    <xf numFmtId="0" fontId="4" fillId="6" borderId="0" xfId="0" applyFont="1" applyFill="1" applyAlignment="1">
      <alignment wrapText="1"/>
    </xf>
  </cellXfs>
  <cellStyles count="1">
    <cellStyle name="Normal" xfId="0" builtinId="0"/>
  </cellStyles>
  <dxfs count="23"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family val="2"/>
      </font>
    </dxf>
    <dxf>
      <font>
        <b/>
        <family val="2"/>
      </font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family val="2"/>
      </font>
    </dxf>
    <dxf>
      <font>
        <b/>
        <family val="2"/>
      </font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6.xlsx]Follower growth per platform!PivotTable1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accent2">
                    <a:lumMod val="75000"/>
                  </a:schemeClr>
                </a:solidFill>
              </a:rPr>
              <a:t>Weekly Follower Growth per Platform</a:t>
            </a:r>
            <a:endParaRPr lang="en-IN">
              <a:solidFill>
                <a:schemeClr val="accent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'Follower growth per platform'!$B$3:$B$4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'Follower growth per platform'!$A$5:$A$54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'Follower growth per platform'!$B$5:$B$54</c:f>
              <c:numCache>
                <c:formatCode>0</c:formatCode>
                <c:ptCount val="50"/>
                <c:pt idx="0">
                  <c:v>4138</c:v>
                </c:pt>
                <c:pt idx="1">
                  <c:v>7721</c:v>
                </c:pt>
                <c:pt idx="2">
                  <c:v>15029</c:v>
                </c:pt>
                <c:pt idx="3">
                  <c:v>5259</c:v>
                </c:pt>
                <c:pt idx="4">
                  <c:v>6490</c:v>
                </c:pt>
                <c:pt idx="6">
                  <c:v>5500</c:v>
                </c:pt>
                <c:pt idx="9">
                  <c:v>3494</c:v>
                </c:pt>
                <c:pt idx="10">
                  <c:v>7610</c:v>
                </c:pt>
                <c:pt idx="11">
                  <c:v>15013</c:v>
                </c:pt>
                <c:pt idx="12">
                  <c:v>9648</c:v>
                </c:pt>
                <c:pt idx="13">
                  <c:v>8627</c:v>
                </c:pt>
                <c:pt idx="14">
                  <c:v>7907</c:v>
                </c:pt>
                <c:pt idx="16">
                  <c:v>14578</c:v>
                </c:pt>
                <c:pt idx="17">
                  <c:v>10637</c:v>
                </c:pt>
                <c:pt idx="18">
                  <c:v>5481</c:v>
                </c:pt>
                <c:pt idx="20">
                  <c:v>26389</c:v>
                </c:pt>
                <c:pt idx="24">
                  <c:v>5798</c:v>
                </c:pt>
                <c:pt idx="25">
                  <c:v>15788</c:v>
                </c:pt>
                <c:pt idx="26">
                  <c:v>9987</c:v>
                </c:pt>
                <c:pt idx="27">
                  <c:v>3672</c:v>
                </c:pt>
                <c:pt idx="28">
                  <c:v>5583</c:v>
                </c:pt>
                <c:pt idx="29">
                  <c:v>4631</c:v>
                </c:pt>
                <c:pt idx="30">
                  <c:v>4897</c:v>
                </c:pt>
                <c:pt idx="32">
                  <c:v>3247</c:v>
                </c:pt>
                <c:pt idx="34">
                  <c:v>4271</c:v>
                </c:pt>
                <c:pt idx="37">
                  <c:v>12840</c:v>
                </c:pt>
                <c:pt idx="38">
                  <c:v>16193</c:v>
                </c:pt>
                <c:pt idx="40">
                  <c:v>3376</c:v>
                </c:pt>
                <c:pt idx="41">
                  <c:v>9569</c:v>
                </c:pt>
                <c:pt idx="43">
                  <c:v>6607</c:v>
                </c:pt>
                <c:pt idx="44">
                  <c:v>1521</c:v>
                </c:pt>
                <c:pt idx="46">
                  <c:v>16669</c:v>
                </c:pt>
                <c:pt idx="48">
                  <c:v>8697</c:v>
                </c:pt>
                <c:pt idx="49">
                  <c:v>3196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4F-472B-A5FD-B7E734C57975}"/>
            </c:ext>
          </c:extLst>
        </c:ser>
        <c:ser>
          <c:idx val="1"/>
          <c:order val="1"/>
          <c:tx>
            <c:strRef>
              <c:f>'Follower growth per platform'!$C$3:$C$4</c:f>
              <c:strCache>
                <c:ptCount val="1"/>
                <c:pt idx="0">
                  <c:v>Linkedin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'Follower growth per platform'!$A$5:$A$54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'Follower growth per platform'!$C$5:$C$54</c:f>
              <c:numCache>
                <c:formatCode>0</c:formatCode>
                <c:ptCount val="50"/>
                <c:pt idx="2">
                  <c:v>7097</c:v>
                </c:pt>
                <c:pt idx="4">
                  <c:v>5917</c:v>
                </c:pt>
                <c:pt idx="5">
                  <c:v>12349</c:v>
                </c:pt>
                <c:pt idx="7">
                  <c:v>17307</c:v>
                </c:pt>
                <c:pt idx="8">
                  <c:v>8622</c:v>
                </c:pt>
                <c:pt idx="9">
                  <c:v>5349</c:v>
                </c:pt>
                <c:pt idx="12">
                  <c:v>1689</c:v>
                </c:pt>
                <c:pt idx="13">
                  <c:v>9591</c:v>
                </c:pt>
                <c:pt idx="14">
                  <c:v>6671</c:v>
                </c:pt>
                <c:pt idx="15">
                  <c:v>2382</c:v>
                </c:pt>
                <c:pt idx="18">
                  <c:v>2549</c:v>
                </c:pt>
                <c:pt idx="21">
                  <c:v>16789</c:v>
                </c:pt>
                <c:pt idx="22">
                  <c:v>5268</c:v>
                </c:pt>
                <c:pt idx="23">
                  <c:v>5592</c:v>
                </c:pt>
                <c:pt idx="24">
                  <c:v>10242</c:v>
                </c:pt>
                <c:pt idx="25">
                  <c:v>9737</c:v>
                </c:pt>
                <c:pt idx="26">
                  <c:v>5839</c:v>
                </c:pt>
                <c:pt idx="27">
                  <c:v>1016</c:v>
                </c:pt>
                <c:pt idx="28">
                  <c:v>9616</c:v>
                </c:pt>
                <c:pt idx="29">
                  <c:v>8743</c:v>
                </c:pt>
                <c:pt idx="30">
                  <c:v>18556</c:v>
                </c:pt>
                <c:pt idx="31">
                  <c:v>9980</c:v>
                </c:pt>
                <c:pt idx="32">
                  <c:v>7869</c:v>
                </c:pt>
                <c:pt idx="34">
                  <c:v>8083</c:v>
                </c:pt>
                <c:pt idx="36">
                  <c:v>13799</c:v>
                </c:pt>
                <c:pt idx="37">
                  <c:v>5531</c:v>
                </c:pt>
                <c:pt idx="39">
                  <c:v>8504</c:v>
                </c:pt>
                <c:pt idx="40">
                  <c:v>2827</c:v>
                </c:pt>
                <c:pt idx="41">
                  <c:v>21174</c:v>
                </c:pt>
                <c:pt idx="42">
                  <c:v>22600</c:v>
                </c:pt>
                <c:pt idx="43">
                  <c:v>1780</c:v>
                </c:pt>
                <c:pt idx="44">
                  <c:v>4983</c:v>
                </c:pt>
                <c:pt idx="45">
                  <c:v>27882</c:v>
                </c:pt>
                <c:pt idx="47">
                  <c:v>1685</c:v>
                </c:pt>
                <c:pt idx="48">
                  <c:v>3294</c:v>
                </c:pt>
                <c:pt idx="49">
                  <c:v>9466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4F-472B-A5FD-B7E734C57975}"/>
            </c:ext>
          </c:extLst>
        </c:ser>
        <c:ser>
          <c:idx val="2"/>
          <c:order val="2"/>
          <c:tx>
            <c:strRef>
              <c:f>'Follower growth per platform'!$D$3:$D$4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'Follower growth per platform'!$A$5:$A$54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'Follower growth per platform'!$D$5:$D$54</c:f>
              <c:numCache>
                <c:formatCode>0</c:formatCode>
                <c:ptCount val="50"/>
                <c:pt idx="0">
                  <c:v>8693</c:v>
                </c:pt>
                <c:pt idx="1">
                  <c:v>9203</c:v>
                </c:pt>
                <c:pt idx="2">
                  <c:v>6907</c:v>
                </c:pt>
                <c:pt idx="3">
                  <c:v>16885</c:v>
                </c:pt>
                <c:pt idx="4">
                  <c:v>9429</c:v>
                </c:pt>
                <c:pt idx="5">
                  <c:v>8045</c:v>
                </c:pt>
                <c:pt idx="6">
                  <c:v>8137</c:v>
                </c:pt>
                <c:pt idx="7">
                  <c:v>8179</c:v>
                </c:pt>
                <c:pt idx="8">
                  <c:v>6947</c:v>
                </c:pt>
                <c:pt idx="9">
                  <c:v>3719</c:v>
                </c:pt>
                <c:pt idx="10">
                  <c:v>14333</c:v>
                </c:pt>
                <c:pt idx="12">
                  <c:v>6175</c:v>
                </c:pt>
                <c:pt idx="13">
                  <c:v>7406</c:v>
                </c:pt>
                <c:pt idx="15">
                  <c:v>4292</c:v>
                </c:pt>
                <c:pt idx="16">
                  <c:v>5517</c:v>
                </c:pt>
                <c:pt idx="17">
                  <c:v>9737</c:v>
                </c:pt>
                <c:pt idx="19">
                  <c:v>18028</c:v>
                </c:pt>
                <c:pt idx="22">
                  <c:v>10051</c:v>
                </c:pt>
                <c:pt idx="23">
                  <c:v>10819</c:v>
                </c:pt>
                <c:pt idx="24">
                  <c:v>7036</c:v>
                </c:pt>
                <c:pt idx="27">
                  <c:v>7164</c:v>
                </c:pt>
                <c:pt idx="28">
                  <c:v>7272</c:v>
                </c:pt>
                <c:pt idx="30">
                  <c:v>3279</c:v>
                </c:pt>
                <c:pt idx="31">
                  <c:v>10226</c:v>
                </c:pt>
                <c:pt idx="32">
                  <c:v>8088</c:v>
                </c:pt>
                <c:pt idx="33">
                  <c:v>22105</c:v>
                </c:pt>
                <c:pt idx="34">
                  <c:v>13170</c:v>
                </c:pt>
                <c:pt idx="35">
                  <c:v>17438</c:v>
                </c:pt>
                <c:pt idx="36">
                  <c:v>1147</c:v>
                </c:pt>
                <c:pt idx="37">
                  <c:v>1365</c:v>
                </c:pt>
                <c:pt idx="39">
                  <c:v>7085</c:v>
                </c:pt>
                <c:pt idx="40">
                  <c:v>9551</c:v>
                </c:pt>
                <c:pt idx="43">
                  <c:v>6978</c:v>
                </c:pt>
                <c:pt idx="44">
                  <c:v>9714</c:v>
                </c:pt>
                <c:pt idx="46">
                  <c:v>8128</c:v>
                </c:pt>
                <c:pt idx="47">
                  <c:v>17532</c:v>
                </c:pt>
                <c:pt idx="49">
                  <c:v>8527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4F-472B-A5FD-B7E734C57975}"/>
            </c:ext>
          </c:extLst>
        </c:ser>
        <c:ser>
          <c:idx val="3"/>
          <c:order val="3"/>
          <c:tx>
            <c:strRef>
              <c:f>'Follower growth per platform'!$E$3:$E$4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'Follower growth per platform'!$A$5:$A$54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'Follower growth per platform'!$E$5:$E$54</c:f>
              <c:numCache>
                <c:formatCode>0</c:formatCode>
                <c:ptCount val="50"/>
                <c:pt idx="0">
                  <c:v>18106</c:v>
                </c:pt>
                <c:pt idx="1">
                  <c:v>8002</c:v>
                </c:pt>
                <c:pt idx="3">
                  <c:v>9286</c:v>
                </c:pt>
                <c:pt idx="6">
                  <c:v>1963</c:v>
                </c:pt>
                <c:pt idx="7">
                  <c:v>9734</c:v>
                </c:pt>
                <c:pt idx="8">
                  <c:v>4036</c:v>
                </c:pt>
                <c:pt idx="9">
                  <c:v>2884</c:v>
                </c:pt>
                <c:pt idx="10">
                  <c:v>7430</c:v>
                </c:pt>
                <c:pt idx="11">
                  <c:v>10587</c:v>
                </c:pt>
                <c:pt idx="12">
                  <c:v>6078</c:v>
                </c:pt>
                <c:pt idx="14">
                  <c:v>12438</c:v>
                </c:pt>
                <c:pt idx="15">
                  <c:v>10331</c:v>
                </c:pt>
                <c:pt idx="18">
                  <c:v>11856</c:v>
                </c:pt>
                <c:pt idx="19">
                  <c:v>7548</c:v>
                </c:pt>
                <c:pt idx="20">
                  <c:v>7793</c:v>
                </c:pt>
                <c:pt idx="21">
                  <c:v>13549</c:v>
                </c:pt>
                <c:pt idx="22">
                  <c:v>3385</c:v>
                </c:pt>
                <c:pt idx="23">
                  <c:v>5795</c:v>
                </c:pt>
                <c:pt idx="25">
                  <c:v>5719</c:v>
                </c:pt>
                <c:pt idx="26">
                  <c:v>4493</c:v>
                </c:pt>
                <c:pt idx="27">
                  <c:v>5200</c:v>
                </c:pt>
                <c:pt idx="29">
                  <c:v>8177</c:v>
                </c:pt>
                <c:pt idx="31">
                  <c:v>9906</c:v>
                </c:pt>
                <c:pt idx="32">
                  <c:v>1078</c:v>
                </c:pt>
                <c:pt idx="33">
                  <c:v>8340</c:v>
                </c:pt>
                <c:pt idx="35">
                  <c:v>14055</c:v>
                </c:pt>
                <c:pt idx="38">
                  <c:v>17457</c:v>
                </c:pt>
                <c:pt idx="39">
                  <c:v>7511</c:v>
                </c:pt>
                <c:pt idx="40">
                  <c:v>4009</c:v>
                </c:pt>
                <c:pt idx="42">
                  <c:v>4747</c:v>
                </c:pt>
                <c:pt idx="43">
                  <c:v>1769</c:v>
                </c:pt>
                <c:pt idx="44">
                  <c:v>7303</c:v>
                </c:pt>
                <c:pt idx="48">
                  <c:v>5875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4F-472B-A5FD-B7E734C57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7099664"/>
        <c:axId val="417100144"/>
      </c:lineChart>
      <c:catAx>
        <c:axId val="417099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accent2">
                        <a:lumMod val="75000"/>
                      </a:schemeClr>
                    </a:solidFill>
                  </a:rPr>
                  <a:t>Week</a:t>
                </a:r>
                <a:r>
                  <a:rPr lang="en-IN" sz="1400" b="1" baseline="0">
                    <a:solidFill>
                      <a:schemeClr val="accent2">
                        <a:lumMod val="75000"/>
                      </a:schemeClr>
                    </a:solidFill>
                  </a:rPr>
                  <a:t> dates</a:t>
                </a:r>
                <a:endParaRPr lang="en-IN" sz="1400" b="1">
                  <a:solidFill>
                    <a:schemeClr val="accent2">
                      <a:lumMod val="7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0.40662872614779361"/>
              <c:y val="0.930767108167770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00144"/>
        <c:crosses val="autoZero"/>
        <c:auto val="1"/>
        <c:lblAlgn val="ctr"/>
        <c:lblOffset val="100"/>
        <c:noMultiLvlLbl val="0"/>
      </c:catAx>
      <c:valAx>
        <c:axId val="4171001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accent2">
                        <a:lumMod val="75000"/>
                      </a:schemeClr>
                    </a:solidFill>
                  </a:rPr>
                  <a:t>Number</a:t>
                </a:r>
                <a:r>
                  <a:rPr lang="en-IN" sz="1400" b="1" baseline="0">
                    <a:solidFill>
                      <a:schemeClr val="accent2">
                        <a:lumMod val="75000"/>
                      </a:schemeClr>
                    </a:solidFill>
                  </a:rPr>
                  <a:t> of followers</a:t>
                </a:r>
                <a:endParaRPr lang="en-IN" sz="1400" b="1">
                  <a:solidFill>
                    <a:schemeClr val="accent2">
                      <a:lumMod val="7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9.0777051561365292E-3"/>
              <c:y val="0.273030626966331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09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2">
            <a:lumMod val="60000"/>
            <a:lumOff val="4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6.xlsx] Moving Averages 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Moving Averages to Smooth Growth Trends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2775371828521432E-2"/>
          <c:y val="0.25402559055118112"/>
          <c:w val="0.88389129483814521"/>
          <c:h val="0.39420202682997957"/>
        </c:manualLayout>
      </c:layout>
      <c:lineChart>
        <c:grouping val="standard"/>
        <c:varyColors val="0"/>
        <c:ser>
          <c:idx val="0"/>
          <c:order val="0"/>
          <c:tx>
            <c:strRef>
              <c:f>' Moving Averages '!$M$1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rgbClr val="FF0000"/>
                </a:solidFill>
                <a:prstDash val="sysDash"/>
              </a:ln>
              <a:effectLst/>
            </c:spPr>
            <c:trendlineType val="movingAvg"/>
            <c:period val="3"/>
            <c:dispRSqr val="0"/>
            <c:dispEq val="0"/>
          </c:trendline>
          <c:cat>
            <c:strRef>
              <c:f>' Moving Averages '!$L$2:$L$51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 Moving Averages '!$M$2:$M$51</c:f>
              <c:numCache>
                <c:formatCode>0.00</c:formatCode>
                <c:ptCount val="50"/>
                <c:pt idx="0">
                  <c:v>6.2096646178114687</c:v>
                </c:pt>
                <c:pt idx="1">
                  <c:v>4.2629784472176144</c:v>
                </c:pt>
                <c:pt idx="2">
                  <c:v>4.0618397724932649</c:v>
                </c:pt>
                <c:pt idx="3">
                  <c:v>3.8389884450241016</c:v>
                </c:pt>
                <c:pt idx="4">
                  <c:v>2.3435761786273401</c:v>
                </c:pt>
                <c:pt idx="5">
                  <c:v>2.0055798856722129</c:v>
                </c:pt>
                <c:pt idx="6">
                  <c:v>1.4020063064086588</c:v>
                </c:pt>
                <c:pt idx="7">
                  <c:v>2.9960110329203515</c:v>
                </c:pt>
                <c:pt idx="8">
                  <c:v>1.441320156245453</c:v>
                </c:pt>
                <c:pt idx="9">
                  <c:v>1.1318051438373171</c:v>
                </c:pt>
                <c:pt idx="10">
                  <c:v>2.0202450791076347</c:v>
                </c:pt>
                <c:pt idx="11">
                  <c:v>1.635522726177121</c:v>
                </c:pt>
                <c:pt idx="12">
                  <c:v>1.3774212310108149</c:v>
                </c:pt>
                <c:pt idx="13">
                  <c:v>1.3923259370509968</c:v>
                </c:pt>
                <c:pt idx="14">
                  <c:v>1.4907335516276365</c:v>
                </c:pt>
                <c:pt idx="15">
                  <c:v>0.86947586545734046</c:v>
                </c:pt>
                <c:pt idx="16">
                  <c:v>0.97706152242770927</c:v>
                </c:pt>
                <c:pt idx="17">
                  <c:v>0.96404325281183434</c:v>
                </c:pt>
                <c:pt idx="18">
                  <c:v>0.88464098385527534</c:v>
                </c:pt>
                <c:pt idx="19">
                  <c:v>1.1315506502756201</c:v>
                </c:pt>
                <c:pt idx="20">
                  <c:v>1.4228308111106844</c:v>
                </c:pt>
                <c:pt idx="21">
                  <c:v>1.1905464691831733</c:v>
                </c:pt>
                <c:pt idx="22">
                  <c:v>0.70088228171939559</c:v>
                </c:pt>
                <c:pt idx="23">
                  <c:v>0.80578932668506453</c:v>
                </c:pt>
                <c:pt idx="24">
                  <c:v>0.83790090840649789</c:v>
                </c:pt>
                <c:pt idx="25">
                  <c:v>1.0882194941716608</c:v>
                </c:pt>
                <c:pt idx="26">
                  <c:v>0.67186340997163296</c:v>
                </c:pt>
                <c:pt idx="27">
                  <c:v>0.5662081246642956</c:v>
                </c:pt>
                <c:pt idx="28">
                  <c:v>0.68401971298632247</c:v>
                </c:pt>
                <c:pt idx="29">
                  <c:v>0.65142101981286182</c:v>
                </c:pt>
                <c:pt idx="30">
                  <c:v>0.7881378298047369</c:v>
                </c:pt>
                <c:pt idx="31">
                  <c:v>0.86501296097517388</c:v>
                </c:pt>
                <c:pt idx="32">
                  <c:v>0.58130282931674915</c:v>
                </c:pt>
                <c:pt idx="33">
                  <c:v>0.83906963231673881</c:v>
                </c:pt>
                <c:pt idx="34">
                  <c:v>0.66388711987092397</c:v>
                </c:pt>
                <c:pt idx="35">
                  <c:v>0.81125892278692413</c:v>
                </c:pt>
                <c:pt idx="36">
                  <c:v>0.37813811379176931</c:v>
                </c:pt>
                <c:pt idx="37">
                  <c:v>0.48669003434288971</c:v>
                </c:pt>
                <c:pt idx="38">
                  <c:v>0.8096188740966721</c:v>
                </c:pt>
                <c:pt idx="39">
                  <c:v>0.5273583396593734</c:v>
                </c:pt>
                <c:pt idx="40">
                  <c:v>0.45162427555546353</c:v>
                </c:pt>
                <c:pt idx="41">
                  <c:v>0.69500272557253129</c:v>
                </c:pt>
                <c:pt idx="42">
                  <c:v>0.61424674429465398</c:v>
                </c:pt>
                <c:pt idx="43">
                  <c:v>0.36989283578749826</c:v>
                </c:pt>
                <c:pt idx="44">
                  <c:v>0.48241583821137041</c:v>
                </c:pt>
                <c:pt idx="45">
                  <c:v>0.56983179967312969</c:v>
                </c:pt>
                <c:pt idx="46">
                  <c:v>0.49245861229732468</c:v>
                </c:pt>
                <c:pt idx="47">
                  <c:v>0.38253886216270544</c:v>
                </c:pt>
                <c:pt idx="48">
                  <c:v>0.34851696343535227</c:v>
                </c:pt>
                <c:pt idx="49">
                  <c:v>0.39151479552596363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EA-438F-9395-E32AE19AE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0767791"/>
        <c:axId val="990760111"/>
      </c:lineChart>
      <c:catAx>
        <c:axId val="99076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760111"/>
        <c:crosses val="autoZero"/>
        <c:auto val="1"/>
        <c:lblAlgn val="ctr"/>
        <c:lblOffset val="100"/>
        <c:noMultiLvlLbl val="0"/>
      </c:catAx>
      <c:valAx>
        <c:axId val="990760111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767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6920384951881"/>
          <c:y val="0.15319444444444447"/>
          <c:w val="0.83319685039370084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Correlation!$G$1</c:f>
              <c:strCache>
                <c:ptCount val="1"/>
                <c:pt idx="0">
                  <c:v>Ad_Spend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9744969378827649E-2"/>
                  <c:y val="-0.293104039078448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Correlation!$F$2:$F$201</c:f>
              <c:numCache>
                <c:formatCode>0</c:formatCode>
                <c:ptCount val="200"/>
                <c:pt idx="0">
                  <c:v>3777</c:v>
                </c:pt>
                <c:pt idx="1">
                  <c:v>7432</c:v>
                </c:pt>
                <c:pt idx="2">
                  <c:v>8123</c:v>
                </c:pt>
                <c:pt idx="3">
                  <c:v>7871</c:v>
                </c:pt>
                <c:pt idx="4">
                  <c:v>7215</c:v>
                </c:pt>
                <c:pt idx="5">
                  <c:v>7478</c:v>
                </c:pt>
                <c:pt idx="6">
                  <c:v>4934</c:v>
                </c:pt>
                <c:pt idx="7">
                  <c:v>3435</c:v>
                </c:pt>
                <c:pt idx="8">
                  <c:v>7452</c:v>
                </c:pt>
                <c:pt idx="9">
                  <c:v>6073</c:v>
                </c:pt>
                <c:pt idx="10">
                  <c:v>6728</c:v>
                </c:pt>
                <c:pt idx="11">
                  <c:v>5678</c:v>
                </c:pt>
                <c:pt idx="12">
                  <c:v>8654</c:v>
                </c:pt>
                <c:pt idx="13">
                  <c:v>4885</c:v>
                </c:pt>
                <c:pt idx="14">
                  <c:v>8653</c:v>
                </c:pt>
                <c:pt idx="15">
                  <c:v>6430</c:v>
                </c:pt>
                <c:pt idx="16">
                  <c:v>5442</c:v>
                </c:pt>
                <c:pt idx="17">
                  <c:v>8463</c:v>
                </c:pt>
                <c:pt idx="18">
                  <c:v>3202</c:v>
                </c:pt>
                <c:pt idx="19">
                  <c:v>2726</c:v>
                </c:pt>
                <c:pt idx="20">
                  <c:v>7151</c:v>
                </c:pt>
                <c:pt idx="21">
                  <c:v>1918</c:v>
                </c:pt>
                <c:pt idx="22">
                  <c:v>6236</c:v>
                </c:pt>
                <c:pt idx="23">
                  <c:v>3224</c:v>
                </c:pt>
                <c:pt idx="24">
                  <c:v>3586</c:v>
                </c:pt>
                <c:pt idx="25">
                  <c:v>7092</c:v>
                </c:pt>
                <c:pt idx="26">
                  <c:v>1826</c:v>
                </c:pt>
                <c:pt idx="27">
                  <c:v>1381</c:v>
                </c:pt>
                <c:pt idx="28">
                  <c:v>7429</c:v>
                </c:pt>
                <c:pt idx="29">
                  <c:v>7733</c:v>
                </c:pt>
                <c:pt idx="30">
                  <c:v>7974</c:v>
                </c:pt>
                <c:pt idx="31">
                  <c:v>9082</c:v>
                </c:pt>
                <c:pt idx="32">
                  <c:v>1741</c:v>
                </c:pt>
                <c:pt idx="33">
                  <c:v>5796</c:v>
                </c:pt>
                <c:pt idx="34">
                  <c:v>3445</c:v>
                </c:pt>
                <c:pt idx="35">
                  <c:v>6039</c:v>
                </c:pt>
                <c:pt idx="36">
                  <c:v>3213</c:v>
                </c:pt>
                <c:pt idx="37">
                  <c:v>3497</c:v>
                </c:pt>
                <c:pt idx="38">
                  <c:v>2543</c:v>
                </c:pt>
                <c:pt idx="39">
                  <c:v>4847</c:v>
                </c:pt>
                <c:pt idx="40">
                  <c:v>5795</c:v>
                </c:pt>
                <c:pt idx="41">
                  <c:v>6853</c:v>
                </c:pt>
                <c:pt idx="42">
                  <c:v>7033</c:v>
                </c:pt>
                <c:pt idx="43">
                  <c:v>7005</c:v>
                </c:pt>
                <c:pt idx="44">
                  <c:v>6920</c:v>
                </c:pt>
                <c:pt idx="45">
                  <c:v>5071</c:v>
                </c:pt>
                <c:pt idx="46">
                  <c:v>6915</c:v>
                </c:pt>
                <c:pt idx="47">
                  <c:v>4356</c:v>
                </c:pt>
                <c:pt idx="48">
                  <c:v>1513</c:v>
                </c:pt>
                <c:pt idx="49">
                  <c:v>5753</c:v>
                </c:pt>
                <c:pt idx="50">
                  <c:v>8231</c:v>
                </c:pt>
                <c:pt idx="51">
                  <c:v>5303</c:v>
                </c:pt>
                <c:pt idx="52">
                  <c:v>5520</c:v>
                </c:pt>
                <c:pt idx="53">
                  <c:v>1876</c:v>
                </c:pt>
                <c:pt idx="54">
                  <c:v>6593</c:v>
                </c:pt>
                <c:pt idx="55">
                  <c:v>8228</c:v>
                </c:pt>
                <c:pt idx="56">
                  <c:v>7442</c:v>
                </c:pt>
                <c:pt idx="57">
                  <c:v>9118</c:v>
                </c:pt>
                <c:pt idx="58">
                  <c:v>2495</c:v>
                </c:pt>
                <c:pt idx="59">
                  <c:v>6121</c:v>
                </c:pt>
                <c:pt idx="60">
                  <c:v>7224</c:v>
                </c:pt>
                <c:pt idx="61">
                  <c:v>2199</c:v>
                </c:pt>
                <c:pt idx="62">
                  <c:v>2084</c:v>
                </c:pt>
                <c:pt idx="63">
                  <c:v>3925</c:v>
                </c:pt>
                <c:pt idx="64">
                  <c:v>1309</c:v>
                </c:pt>
                <c:pt idx="65">
                  <c:v>4942</c:v>
                </c:pt>
                <c:pt idx="66">
                  <c:v>4027</c:v>
                </c:pt>
                <c:pt idx="67">
                  <c:v>7704</c:v>
                </c:pt>
                <c:pt idx="68">
                  <c:v>8361</c:v>
                </c:pt>
                <c:pt idx="69">
                  <c:v>5698</c:v>
                </c:pt>
                <c:pt idx="70">
                  <c:v>1543</c:v>
                </c:pt>
                <c:pt idx="71">
                  <c:v>2832</c:v>
                </c:pt>
                <c:pt idx="72">
                  <c:v>2421</c:v>
                </c:pt>
                <c:pt idx="73">
                  <c:v>6201</c:v>
                </c:pt>
                <c:pt idx="74">
                  <c:v>4147</c:v>
                </c:pt>
                <c:pt idx="75">
                  <c:v>4808</c:v>
                </c:pt>
                <c:pt idx="76">
                  <c:v>7767</c:v>
                </c:pt>
                <c:pt idx="77">
                  <c:v>7115</c:v>
                </c:pt>
                <c:pt idx="78">
                  <c:v>3011</c:v>
                </c:pt>
                <c:pt idx="79">
                  <c:v>5478</c:v>
                </c:pt>
                <c:pt idx="80">
                  <c:v>7565</c:v>
                </c:pt>
                <c:pt idx="81">
                  <c:v>6918</c:v>
                </c:pt>
                <c:pt idx="82">
                  <c:v>7921</c:v>
                </c:pt>
                <c:pt idx="83">
                  <c:v>8487</c:v>
                </c:pt>
                <c:pt idx="84">
                  <c:v>6439</c:v>
                </c:pt>
                <c:pt idx="85">
                  <c:v>6003</c:v>
                </c:pt>
                <c:pt idx="86">
                  <c:v>6452</c:v>
                </c:pt>
                <c:pt idx="87">
                  <c:v>8360</c:v>
                </c:pt>
                <c:pt idx="88">
                  <c:v>7218</c:v>
                </c:pt>
                <c:pt idx="89">
                  <c:v>3056</c:v>
                </c:pt>
                <c:pt idx="90">
                  <c:v>4942</c:v>
                </c:pt>
                <c:pt idx="91">
                  <c:v>1469</c:v>
                </c:pt>
                <c:pt idx="92">
                  <c:v>1017</c:v>
                </c:pt>
                <c:pt idx="93">
                  <c:v>8632</c:v>
                </c:pt>
                <c:pt idx="94">
                  <c:v>4882</c:v>
                </c:pt>
                <c:pt idx="95">
                  <c:v>5220</c:v>
                </c:pt>
                <c:pt idx="96">
                  <c:v>5206</c:v>
                </c:pt>
                <c:pt idx="97">
                  <c:v>6384</c:v>
                </c:pt>
                <c:pt idx="98">
                  <c:v>3179</c:v>
                </c:pt>
                <c:pt idx="99">
                  <c:v>6469</c:v>
                </c:pt>
                <c:pt idx="100">
                  <c:v>8485</c:v>
                </c:pt>
                <c:pt idx="101">
                  <c:v>6052</c:v>
                </c:pt>
                <c:pt idx="102">
                  <c:v>8945</c:v>
                </c:pt>
                <c:pt idx="103">
                  <c:v>5143</c:v>
                </c:pt>
                <c:pt idx="104">
                  <c:v>1369</c:v>
                </c:pt>
                <c:pt idx="105">
                  <c:v>5402</c:v>
                </c:pt>
                <c:pt idx="106">
                  <c:v>7630</c:v>
                </c:pt>
                <c:pt idx="107">
                  <c:v>3929</c:v>
                </c:pt>
                <c:pt idx="108">
                  <c:v>6642</c:v>
                </c:pt>
                <c:pt idx="109">
                  <c:v>3461</c:v>
                </c:pt>
                <c:pt idx="110">
                  <c:v>4790</c:v>
                </c:pt>
                <c:pt idx="111">
                  <c:v>949</c:v>
                </c:pt>
                <c:pt idx="112">
                  <c:v>3592</c:v>
                </c:pt>
                <c:pt idx="113">
                  <c:v>1210</c:v>
                </c:pt>
                <c:pt idx="114">
                  <c:v>8527</c:v>
                </c:pt>
                <c:pt idx="115">
                  <c:v>6275</c:v>
                </c:pt>
                <c:pt idx="116">
                  <c:v>1367</c:v>
                </c:pt>
                <c:pt idx="117">
                  <c:v>4314</c:v>
                </c:pt>
                <c:pt idx="118">
                  <c:v>6174</c:v>
                </c:pt>
                <c:pt idx="119">
                  <c:v>7328</c:v>
                </c:pt>
                <c:pt idx="120">
                  <c:v>8200</c:v>
                </c:pt>
                <c:pt idx="121">
                  <c:v>4214</c:v>
                </c:pt>
                <c:pt idx="122">
                  <c:v>8377</c:v>
                </c:pt>
                <c:pt idx="123">
                  <c:v>3079</c:v>
                </c:pt>
                <c:pt idx="124">
                  <c:v>9254</c:v>
                </c:pt>
                <c:pt idx="125">
                  <c:v>7668</c:v>
                </c:pt>
                <c:pt idx="126">
                  <c:v>8601</c:v>
                </c:pt>
                <c:pt idx="127">
                  <c:v>1534</c:v>
                </c:pt>
                <c:pt idx="128">
                  <c:v>7471</c:v>
                </c:pt>
                <c:pt idx="129">
                  <c:v>2919</c:v>
                </c:pt>
                <c:pt idx="130">
                  <c:v>7346</c:v>
                </c:pt>
                <c:pt idx="131">
                  <c:v>1001</c:v>
                </c:pt>
                <c:pt idx="132">
                  <c:v>8518</c:v>
                </c:pt>
                <c:pt idx="133">
                  <c:v>7421</c:v>
                </c:pt>
                <c:pt idx="134">
                  <c:v>4216</c:v>
                </c:pt>
                <c:pt idx="135">
                  <c:v>7654</c:v>
                </c:pt>
                <c:pt idx="136">
                  <c:v>7260</c:v>
                </c:pt>
                <c:pt idx="137">
                  <c:v>6361</c:v>
                </c:pt>
                <c:pt idx="138">
                  <c:v>5428</c:v>
                </c:pt>
                <c:pt idx="139">
                  <c:v>3643</c:v>
                </c:pt>
                <c:pt idx="140">
                  <c:v>3805</c:v>
                </c:pt>
                <c:pt idx="141">
                  <c:v>8128</c:v>
                </c:pt>
                <c:pt idx="142">
                  <c:v>8642</c:v>
                </c:pt>
                <c:pt idx="143">
                  <c:v>7958</c:v>
                </c:pt>
                <c:pt idx="144">
                  <c:v>3420</c:v>
                </c:pt>
                <c:pt idx="145">
                  <c:v>2525</c:v>
                </c:pt>
                <c:pt idx="146">
                  <c:v>1020</c:v>
                </c:pt>
                <c:pt idx="147">
                  <c:v>6677</c:v>
                </c:pt>
                <c:pt idx="148">
                  <c:v>1290</c:v>
                </c:pt>
                <c:pt idx="149">
                  <c:v>5101</c:v>
                </c:pt>
                <c:pt idx="150">
                  <c:v>5439</c:v>
                </c:pt>
                <c:pt idx="151">
                  <c:v>6029</c:v>
                </c:pt>
                <c:pt idx="152">
                  <c:v>9125</c:v>
                </c:pt>
                <c:pt idx="153">
                  <c:v>8979</c:v>
                </c:pt>
                <c:pt idx="154">
                  <c:v>6380</c:v>
                </c:pt>
                <c:pt idx="155">
                  <c:v>5962</c:v>
                </c:pt>
                <c:pt idx="156">
                  <c:v>6631</c:v>
                </c:pt>
                <c:pt idx="157">
                  <c:v>7432</c:v>
                </c:pt>
                <c:pt idx="158">
                  <c:v>2081</c:v>
                </c:pt>
                <c:pt idx="159">
                  <c:v>4245</c:v>
                </c:pt>
                <c:pt idx="160">
                  <c:v>8723</c:v>
                </c:pt>
                <c:pt idx="161">
                  <c:v>2994</c:v>
                </c:pt>
                <c:pt idx="162">
                  <c:v>3555</c:v>
                </c:pt>
                <c:pt idx="163">
                  <c:v>2535</c:v>
                </c:pt>
                <c:pt idx="164">
                  <c:v>7509</c:v>
                </c:pt>
                <c:pt idx="165">
                  <c:v>8292</c:v>
                </c:pt>
                <c:pt idx="166">
                  <c:v>4852</c:v>
                </c:pt>
                <c:pt idx="167">
                  <c:v>7367</c:v>
                </c:pt>
                <c:pt idx="168">
                  <c:v>9044</c:v>
                </c:pt>
                <c:pt idx="169">
                  <c:v>2848</c:v>
                </c:pt>
                <c:pt idx="170">
                  <c:v>4189</c:v>
                </c:pt>
                <c:pt idx="171">
                  <c:v>9335</c:v>
                </c:pt>
                <c:pt idx="172">
                  <c:v>6272</c:v>
                </c:pt>
                <c:pt idx="173">
                  <c:v>6128</c:v>
                </c:pt>
                <c:pt idx="174">
                  <c:v>1567</c:v>
                </c:pt>
                <c:pt idx="175">
                  <c:v>1660</c:v>
                </c:pt>
                <c:pt idx="176">
                  <c:v>6434</c:v>
                </c:pt>
                <c:pt idx="177">
                  <c:v>4542</c:v>
                </c:pt>
                <c:pt idx="178">
                  <c:v>8319</c:v>
                </c:pt>
                <c:pt idx="179">
                  <c:v>1425</c:v>
                </c:pt>
                <c:pt idx="180">
                  <c:v>7849</c:v>
                </c:pt>
                <c:pt idx="181">
                  <c:v>6368</c:v>
                </c:pt>
                <c:pt idx="182">
                  <c:v>4788</c:v>
                </c:pt>
                <c:pt idx="183">
                  <c:v>5990</c:v>
                </c:pt>
                <c:pt idx="184">
                  <c:v>5491</c:v>
                </c:pt>
                <c:pt idx="185">
                  <c:v>6425</c:v>
                </c:pt>
                <c:pt idx="186">
                  <c:v>7058</c:v>
                </c:pt>
                <c:pt idx="187">
                  <c:v>3096</c:v>
                </c:pt>
                <c:pt idx="188">
                  <c:v>1512</c:v>
                </c:pt>
                <c:pt idx="189">
                  <c:v>2926</c:v>
                </c:pt>
                <c:pt idx="190">
                  <c:v>7555</c:v>
                </c:pt>
                <c:pt idx="191">
                  <c:v>5456</c:v>
                </c:pt>
                <c:pt idx="192">
                  <c:v>893</c:v>
                </c:pt>
                <c:pt idx="193">
                  <c:v>5210</c:v>
                </c:pt>
                <c:pt idx="194">
                  <c:v>2067</c:v>
                </c:pt>
                <c:pt idx="195">
                  <c:v>7959</c:v>
                </c:pt>
                <c:pt idx="196">
                  <c:v>2805</c:v>
                </c:pt>
                <c:pt idx="197">
                  <c:v>7025</c:v>
                </c:pt>
                <c:pt idx="198">
                  <c:v>1121</c:v>
                </c:pt>
                <c:pt idx="199">
                  <c:v>7436</c:v>
                </c:pt>
              </c:numCache>
            </c:numRef>
          </c:xVal>
          <c:yVal>
            <c:numRef>
              <c:f>Correlation!$G$2:$G$201</c:f>
              <c:numCache>
                <c:formatCode>0</c:formatCode>
                <c:ptCount val="200"/>
                <c:pt idx="0">
                  <c:v>23944</c:v>
                </c:pt>
                <c:pt idx="1">
                  <c:v>29873</c:v>
                </c:pt>
                <c:pt idx="2">
                  <c:v>50372</c:v>
                </c:pt>
                <c:pt idx="3">
                  <c:v>33928</c:v>
                </c:pt>
                <c:pt idx="4">
                  <c:v>25379</c:v>
                </c:pt>
                <c:pt idx="5">
                  <c:v>46751</c:v>
                </c:pt>
                <c:pt idx="6">
                  <c:v>44546</c:v>
                </c:pt>
                <c:pt idx="7">
                  <c:v>34286</c:v>
                </c:pt>
                <c:pt idx="8">
                  <c:v>15110</c:v>
                </c:pt>
                <c:pt idx="9">
                  <c:v>22087</c:v>
                </c:pt>
                <c:pt idx="10">
                  <c:v>33762</c:v>
                </c:pt>
                <c:pt idx="11">
                  <c:v>27081</c:v>
                </c:pt>
                <c:pt idx="12">
                  <c:v>44947</c:v>
                </c:pt>
                <c:pt idx="13">
                  <c:v>19596</c:v>
                </c:pt>
                <c:pt idx="14">
                  <c:v>48019</c:v>
                </c:pt>
                <c:pt idx="15">
                  <c:v>52003</c:v>
                </c:pt>
                <c:pt idx="16">
                  <c:v>28313</c:v>
                </c:pt>
                <c:pt idx="17">
                  <c:v>57639</c:v>
                </c:pt>
                <c:pt idx="18">
                  <c:v>11013</c:v>
                </c:pt>
                <c:pt idx="19">
                  <c:v>59378</c:v>
                </c:pt>
                <c:pt idx="20">
                  <c:v>33705</c:v>
                </c:pt>
                <c:pt idx="21">
                  <c:v>11828</c:v>
                </c:pt>
                <c:pt idx="22">
                  <c:v>17909</c:v>
                </c:pt>
                <c:pt idx="23">
                  <c:v>48356</c:v>
                </c:pt>
                <c:pt idx="24">
                  <c:v>23109</c:v>
                </c:pt>
                <c:pt idx="25">
                  <c:v>12023</c:v>
                </c:pt>
                <c:pt idx="26">
                  <c:v>24537</c:v>
                </c:pt>
                <c:pt idx="27">
                  <c:v>36661</c:v>
                </c:pt>
                <c:pt idx="28">
                  <c:v>48659</c:v>
                </c:pt>
                <c:pt idx="29">
                  <c:v>43848</c:v>
                </c:pt>
                <c:pt idx="30">
                  <c:v>47804</c:v>
                </c:pt>
                <c:pt idx="31">
                  <c:v>25379</c:v>
                </c:pt>
                <c:pt idx="32">
                  <c:v>37766</c:v>
                </c:pt>
                <c:pt idx="33">
                  <c:v>53590</c:v>
                </c:pt>
                <c:pt idx="34">
                  <c:v>12563</c:v>
                </c:pt>
                <c:pt idx="35">
                  <c:v>46060</c:v>
                </c:pt>
                <c:pt idx="36">
                  <c:v>39197</c:v>
                </c:pt>
                <c:pt idx="37">
                  <c:v>13586</c:v>
                </c:pt>
                <c:pt idx="38">
                  <c:v>26087</c:v>
                </c:pt>
                <c:pt idx="39">
                  <c:v>58868</c:v>
                </c:pt>
                <c:pt idx="40">
                  <c:v>33225</c:v>
                </c:pt>
                <c:pt idx="41">
                  <c:v>39750</c:v>
                </c:pt>
                <c:pt idx="42">
                  <c:v>16643</c:v>
                </c:pt>
                <c:pt idx="43">
                  <c:v>37523</c:v>
                </c:pt>
                <c:pt idx="44">
                  <c:v>46727</c:v>
                </c:pt>
                <c:pt idx="45">
                  <c:v>21005</c:v>
                </c:pt>
                <c:pt idx="46">
                  <c:v>53543</c:v>
                </c:pt>
                <c:pt idx="47">
                  <c:v>10161</c:v>
                </c:pt>
                <c:pt idx="48">
                  <c:v>26029</c:v>
                </c:pt>
                <c:pt idx="49">
                  <c:v>59745</c:v>
                </c:pt>
                <c:pt idx="50">
                  <c:v>24226</c:v>
                </c:pt>
                <c:pt idx="51">
                  <c:v>38731</c:v>
                </c:pt>
                <c:pt idx="52">
                  <c:v>53922</c:v>
                </c:pt>
                <c:pt idx="53">
                  <c:v>54848</c:v>
                </c:pt>
                <c:pt idx="54">
                  <c:v>13390</c:v>
                </c:pt>
                <c:pt idx="55">
                  <c:v>15997</c:v>
                </c:pt>
                <c:pt idx="56">
                  <c:v>22693</c:v>
                </c:pt>
                <c:pt idx="57">
                  <c:v>59815</c:v>
                </c:pt>
                <c:pt idx="58">
                  <c:v>52092</c:v>
                </c:pt>
                <c:pt idx="59">
                  <c:v>10541</c:v>
                </c:pt>
                <c:pt idx="60">
                  <c:v>31817</c:v>
                </c:pt>
                <c:pt idx="61">
                  <c:v>47861</c:v>
                </c:pt>
                <c:pt idx="62">
                  <c:v>23428</c:v>
                </c:pt>
                <c:pt idx="63">
                  <c:v>53934</c:v>
                </c:pt>
                <c:pt idx="64">
                  <c:v>58831</c:v>
                </c:pt>
                <c:pt idx="65">
                  <c:v>20258</c:v>
                </c:pt>
                <c:pt idx="66">
                  <c:v>26044</c:v>
                </c:pt>
                <c:pt idx="67">
                  <c:v>39411</c:v>
                </c:pt>
                <c:pt idx="68">
                  <c:v>15469</c:v>
                </c:pt>
                <c:pt idx="69">
                  <c:v>38854</c:v>
                </c:pt>
                <c:pt idx="70">
                  <c:v>16256</c:v>
                </c:pt>
                <c:pt idx="71">
                  <c:v>20720</c:v>
                </c:pt>
                <c:pt idx="72">
                  <c:v>43937</c:v>
                </c:pt>
                <c:pt idx="73">
                  <c:v>43598</c:v>
                </c:pt>
                <c:pt idx="74">
                  <c:v>11651</c:v>
                </c:pt>
                <c:pt idx="75">
                  <c:v>29194</c:v>
                </c:pt>
                <c:pt idx="76">
                  <c:v>35051</c:v>
                </c:pt>
                <c:pt idx="77">
                  <c:v>37386</c:v>
                </c:pt>
                <c:pt idx="78">
                  <c:v>19518</c:v>
                </c:pt>
                <c:pt idx="79">
                  <c:v>56026</c:v>
                </c:pt>
                <c:pt idx="80">
                  <c:v>26184</c:v>
                </c:pt>
                <c:pt idx="81">
                  <c:v>43787</c:v>
                </c:pt>
                <c:pt idx="82">
                  <c:v>31621</c:v>
                </c:pt>
                <c:pt idx="83">
                  <c:v>20028</c:v>
                </c:pt>
                <c:pt idx="84">
                  <c:v>22448</c:v>
                </c:pt>
                <c:pt idx="85">
                  <c:v>55253</c:v>
                </c:pt>
                <c:pt idx="86">
                  <c:v>44051</c:v>
                </c:pt>
                <c:pt idx="87">
                  <c:v>59811</c:v>
                </c:pt>
                <c:pt idx="88">
                  <c:v>40447</c:v>
                </c:pt>
                <c:pt idx="89">
                  <c:v>28394</c:v>
                </c:pt>
                <c:pt idx="90">
                  <c:v>44501</c:v>
                </c:pt>
                <c:pt idx="91">
                  <c:v>40254</c:v>
                </c:pt>
                <c:pt idx="92">
                  <c:v>28509</c:v>
                </c:pt>
                <c:pt idx="93">
                  <c:v>58998</c:v>
                </c:pt>
                <c:pt idx="94">
                  <c:v>24472</c:v>
                </c:pt>
                <c:pt idx="95">
                  <c:v>55657</c:v>
                </c:pt>
                <c:pt idx="96">
                  <c:v>13471</c:v>
                </c:pt>
                <c:pt idx="97">
                  <c:v>51796</c:v>
                </c:pt>
                <c:pt idx="98">
                  <c:v>40268</c:v>
                </c:pt>
                <c:pt idx="99">
                  <c:v>18329</c:v>
                </c:pt>
                <c:pt idx="100">
                  <c:v>44865</c:v>
                </c:pt>
                <c:pt idx="101">
                  <c:v>56850</c:v>
                </c:pt>
                <c:pt idx="102">
                  <c:v>56698</c:v>
                </c:pt>
                <c:pt idx="103">
                  <c:v>38272</c:v>
                </c:pt>
                <c:pt idx="104">
                  <c:v>52845</c:v>
                </c:pt>
                <c:pt idx="105">
                  <c:v>16397</c:v>
                </c:pt>
                <c:pt idx="106">
                  <c:v>42373</c:v>
                </c:pt>
                <c:pt idx="107">
                  <c:v>45525</c:v>
                </c:pt>
                <c:pt idx="108">
                  <c:v>34570</c:v>
                </c:pt>
                <c:pt idx="109">
                  <c:v>28284</c:v>
                </c:pt>
                <c:pt idx="110">
                  <c:v>28994</c:v>
                </c:pt>
                <c:pt idx="111">
                  <c:v>33284</c:v>
                </c:pt>
                <c:pt idx="112">
                  <c:v>27833</c:v>
                </c:pt>
                <c:pt idx="113">
                  <c:v>35122</c:v>
                </c:pt>
                <c:pt idx="114">
                  <c:v>15017</c:v>
                </c:pt>
                <c:pt idx="115">
                  <c:v>26370</c:v>
                </c:pt>
                <c:pt idx="116">
                  <c:v>39252</c:v>
                </c:pt>
                <c:pt idx="117">
                  <c:v>17999</c:v>
                </c:pt>
                <c:pt idx="118">
                  <c:v>32436</c:v>
                </c:pt>
                <c:pt idx="119">
                  <c:v>52963</c:v>
                </c:pt>
                <c:pt idx="120">
                  <c:v>12096</c:v>
                </c:pt>
                <c:pt idx="121">
                  <c:v>58201</c:v>
                </c:pt>
                <c:pt idx="122">
                  <c:v>35279</c:v>
                </c:pt>
                <c:pt idx="123">
                  <c:v>53363</c:v>
                </c:pt>
                <c:pt idx="124">
                  <c:v>58709</c:v>
                </c:pt>
                <c:pt idx="125">
                  <c:v>36201</c:v>
                </c:pt>
                <c:pt idx="126">
                  <c:v>29715</c:v>
                </c:pt>
                <c:pt idx="127">
                  <c:v>39309</c:v>
                </c:pt>
                <c:pt idx="128">
                  <c:v>25078</c:v>
                </c:pt>
                <c:pt idx="129">
                  <c:v>15105</c:v>
                </c:pt>
                <c:pt idx="130">
                  <c:v>39312</c:v>
                </c:pt>
                <c:pt idx="131">
                  <c:v>12839</c:v>
                </c:pt>
                <c:pt idx="132">
                  <c:v>13384</c:v>
                </c:pt>
                <c:pt idx="133">
                  <c:v>53619</c:v>
                </c:pt>
                <c:pt idx="134">
                  <c:v>52821</c:v>
                </c:pt>
                <c:pt idx="135">
                  <c:v>23493</c:v>
                </c:pt>
                <c:pt idx="136">
                  <c:v>27069</c:v>
                </c:pt>
                <c:pt idx="137">
                  <c:v>56907</c:v>
                </c:pt>
                <c:pt idx="138">
                  <c:v>17531</c:v>
                </c:pt>
                <c:pt idx="139">
                  <c:v>47051</c:v>
                </c:pt>
                <c:pt idx="140">
                  <c:v>17736</c:v>
                </c:pt>
                <c:pt idx="141">
                  <c:v>17710</c:v>
                </c:pt>
                <c:pt idx="142">
                  <c:v>11619</c:v>
                </c:pt>
                <c:pt idx="143">
                  <c:v>23975</c:v>
                </c:pt>
                <c:pt idx="144">
                  <c:v>55603</c:v>
                </c:pt>
                <c:pt idx="145">
                  <c:v>33252</c:v>
                </c:pt>
                <c:pt idx="146">
                  <c:v>25261</c:v>
                </c:pt>
                <c:pt idx="147">
                  <c:v>11431</c:v>
                </c:pt>
                <c:pt idx="148">
                  <c:v>19067</c:v>
                </c:pt>
                <c:pt idx="149">
                  <c:v>47481</c:v>
                </c:pt>
                <c:pt idx="150">
                  <c:v>37037</c:v>
                </c:pt>
                <c:pt idx="151">
                  <c:v>19557</c:v>
                </c:pt>
                <c:pt idx="152">
                  <c:v>19435</c:v>
                </c:pt>
                <c:pt idx="153">
                  <c:v>47766</c:v>
                </c:pt>
                <c:pt idx="154">
                  <c:v>10162</c:v>
                </c:pt>
                <c:pt idx="155">
                  <c:v>44742</c:v>
                </c:pt>
                <c:pt idx="156">
                  <c:v>29675</c:v>
                </c:pt>
                <c:pt idx="157">
                  <c:v>18461</c:v>
                </c:pt>
                <c:pt idx="158">
                  <c:v>27015</c:v>
                </c:pt>
                <c:pt idx="159">
                  <c:v>42591</c:v>
                </c:pt>
                <c:pt idx="160">
                  <c:v>38047</c:v>
                </c:pt>
                <c:pt idx="161">
                  <c:v>44782</c:v>
                </c:pt>
                <c:pt idx="162">
                  <c:v>19833</c:v>
                </c:pt>
                <c:pt idx="163">
                  <c:v>17896</c:v>
                </c:pt>
                <c:pt idx="164">
                  <c:v>42972</c:v>
                </c:pt>
                <c:pt idx="165">
                  <c:v>59733</c:v>
                </c:pt>
                <c:pt idx="166">
                  <c:v>51800</c:v>
                </c:pt>
                <c:pt idx="167">
                  <c:v>40508</c:v>
                </c:pt>
                <c:pt idx="168">
                  <c:v>15347</c:v>
                </c:pt>
                <c:pt idx="169">
                  <c:v>40314</c:v>
                </c:pt>
                <c:pt idx="170">
                  <c:v>12643</c:v>
                </c:pt>
                <c:pt idx="171">
                  <c:v>50785</c:v>
                </c:pt>
                <c:pt idx="172">
                  <c:v>28681</c:v>
                </c:pt>
                <c:pt idx="173">
                  <c:v>48328</c:v>
                </c:pt>
                <c:pt idx="174">
                  <c:v>25892</c:v>
                </c:pt>
                <c:pt idx="175">
                  <c:v>57299</c:v>
                </c:pt>
                <c:pt idx="176">
                  <c:v>27073</c:v>
                </c:pt>
                <c:pt idx="177">
                  <c:v>46768</c:v>
                </c:pt>
                <c:pt idx="178">
                  <c:v>40682</c:v>
                </c:pt>
                <c:pt idx="179">
                  <c:v>42262</c:v>
                </c:pt>
                <c:pt idx="180">
                  <c:v>41358</c:v>
                </c:pt>
                <c:pt idx="181">
                  <c:v>24289</c:v>
                </c:pt>
                <c:pt idx="182">
                  <c:v>59823</c:v>
                </c:pt>
                <c:pt idx="183">
                  <c:v>17927</c:v>
                </c:pt>
                <c:pt idx="184">
                  <c:v>58330</c:v>
                </c:pt>
                <c:pt idx="185">
                  <c:v>11171</c:v>
                </c:pt>
                <c:pt idx="186">
                  <c:v>21918</c:v>
                </c:pt>
                <c:pt idx="187">
                  <c:v>51903</c:v>
                </c:pt>
                <c:pt idx="188">
                  <c:v>49110</c:v>
                </c:pt>
                <c:pt idx="189">
                  <c:v>21929</c:v>
                </c:pt>
                <c:pt idx="190">
                  <c:v>12539</c:v>
                </c:pt>
                <c:pt idx="191">
                  <c:v>46727</c:v>
                </c:pt>
                <c:pt idx="192">
                  <c:v>55951</c:v>
                </c:pt>
                <c:pt idx="193">
                  <c:v>32669</c:v>
                </c:pt>
                <c:pt idx="194">
                  <c:v>15432</c:v>
                </c:pt>
                <c:pt idx="195">
                  <c:v>30644</c:v>
                </c:pt>
                <c:pt idx="196">
                  <c:v>28745</c:v>
                </c:pt>
                <c:pt idx="197">
                  <c:v>38228</c:v>
                </c:pt>
                <c:pt idx="198">
                  <c:v>44521</c:v>
                </c:pt>
                <c:pt idx="199">
                  <c:v>41703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0C-4E2D-B631-086173BD2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5597551"/>
        <c:axId val="1335598031"/>
      </c:scatterChart>
      <c:valAx>
        <c:axId val="1335597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598031"/>
        <c:crosses val="autoZero"/>
        <c:crossBetween val="midCat"/>
      </c:valAx>
      <c:valAx>
        <c:axId val="133559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597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403860</xdr:colOff>
      <xdr:row>2</xdr:row>
      <xdr:rowOff>91440</xdr:rowOff>
    </xdr:from>
    <xdr:to>
      <xdr:col>16</xdr:col>
      <xdr:colOff>563880</xdr:colOff>
      <xdr:row>27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8354F0-FB3C-116C-1370-7A09EBD7A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91440</xdr:colOff>
      <xdr:row>0</xdr:row>
      <xdr:rowOff>26670</xdr:rowOff>
    </xdr:from>
    <xdr:to>
      <xdr:col>24</xdr:col>
      <xdr:colOff>487680</xdr:colOff>
      <xdr:row>17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69B765-71BA-40AE-414D-1EE41EC8F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16</xdr:col>
      <xdr:colOff>304800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6AB050-50F0-47DB-AB25-2F44AB4AB3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SWATI DAS" refreshedDate="45987.528407754631" createdVersion="8" refreshedVersion="8" minRefreshableVersion="3" recordCount="200" xr:uid="{B95A79B1-C701-42ED-B7E2-3401E24CB15C}">
  <cacheSource type="worksheet">
    <worksheetSource ref="A1:G201" sheet="Engagement Summary"/>
  </cacheSource>
  <cacheFields count="7">
    <cacheField name="Week_Start_Date" numFmtId="166">
      <sharedItems count="50">
        <s v="2024-06-03"/>
        <s v="2024-06-10"/>
        <s v="2024-06-17"/>
        <s v="2024-06-24"/>
        <s v="2024-07-01"/>
        <s v="2024-07-08"/>
        <s v="2024-07-15"/>
        <s v="2024-07-22"/>
        <s v="2024-07-29"/>
        <s v="2024-08-05"/>
        <s v="2024-08-12"/>
        <s v="2024-08-19"/>
        <s v="2024-08-26"/>
        <s v="2024-09-02"/>
        <s v="2024-09-09"/>
        <s v="2024-09-16"/>
        <s v="2024-09-23"/>
        <s v="2024-09-30"/>
        <s v="2024-10-07"/>
        <s v="2024-10-14"/>
        <s v="2024-10-21"/>
        <s v="2024-10-28"/>
        <s v="2024-11-04"/>
        <s v="2024-11-11"/>
        <s v="2024-11-18"/>
        <s v="2024-11-25"/>
        <s v="2024-12-02"/>
        <s v="2024-12-09"/>
        <s v="2024-12-16"/>
        <s v="2024-12-23"/>
        <s v="2024-12-30"/>
        <s v="2025-01-06"/>
        <s v="2025-01-13"/>
        <s v="2025-01-20"/>
        <s v="2025-01-27"/>
        <s v="2025-02-03"/>
        <s v="2025-02-10"/>
        <s v="2025-02-17"/>
        <s v="2025-02-24"/>
        <s v="2025-03-03"/>
        <s v="2025-03-10"/>
        <s v="2025-03-17"/>
        <s v="2025-03-24"/>
        <s v="2025-03-31"/>
        <s v="2025-04-07"/>
        <s v="2025-04-14"/>
        <s v="2025-04-21"/>
        <s v="2025-04-28"/>
        <s v="2025-05-05"/>
        <s v="2025-05-12"/>
      </sharedItems>
    </cacheField>
    <cacheField name="Platform" numFmtId="0">
      <sharedItems count="4">
        <s v="Instagram"/>
        <s v="Twitter"/>
        <s v="Youtube"/>
        <s v="Linkedin"/>
      </sharedItems>
    </cacheField>
    <cacheField name="New_Followers" numFmtId="1">
      <sharedItems containsSemiMixedTypes="0" containsString="0" containsNumber="1" containsInteger="1" minValue="1016" maxValue="9984"/>
    </cacheField>
    <cacheField name="Unfollows" numFmtId="1">
      <sharedItems containsSemiMixedTypes="0" containsString="0" containsNumber="1" containsInteger="1" minValue="67" maxValue="1417"/>
    </cacheField>
    <cacheField name="Total_Followers" numFmtId="1">
      <sharedItems containsSemiMixedTypes="0" containsString="0" containsNumber="1" containsInteger="1" minValue="103777" maxValue="1186398"/>
    </cacheField>
    <cacheField name="Engagement_Rate" numFmtId="0">
      <sharedItems containsSemiMixedTypes="0" containsString="0" containsNumber="1" minValue="1.381177897889402" maxValue="92.312204605638044"/>
    </cacheField>
    <cacheField name="Ad_Spend" numFmtId="1">
      <sharedItems containsSemiMixedTypes="0" containsString="0" containsNumber="1" containsInteger="1" minValue="10161" maxValue="598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SWATI DAS" refreshedDate="45990.782697685187" createdVersion="8" refreshedVersion="8" minRefreshableVersion="3" recordCount="200" xr:uid="{A1905BEC-A731-488C-8EFD-477DEF210294}">
  <cacheSource type="worksheet">
    <worksheetSource ref="A1:J201" sheet=" Moving Averages "/>
  </cacheSource>
  <cacheFields count="10">
    <cacheField name="Week_Start_Date" numFmtId="166">
      <sharedItems count="50">
        <s v="2024-06-03"/>
        <s v="2024-06-10"/>
        <s v="2024-06-17"/>
        <s v="2024-06-24"/>
        <s v="2024-07-01"/>
        <s v="2024-07-08"/>
        <s v="2024-07-15"/>
        <s v="2024-07-22"/>
        <s v="2024-07-29"/>
        <s v="2024-08-05"/>
        <s v="2024-08-12"/>
        <s v="2024-08-19"/>
        <s v="2024-08-26"/>
        <s v="2024-09-02"/>
        <s v="2024-09-09"/>
        <s v="2024-09-16"/>
        <s v="2024-09-23"/>
        <s v="2024-09-30"/>
        <s v="2024-10-07"/>
        <s v="2024-10-14"/>
        <s v="2024-10-21"/>
        <s v="2024-10-28"/>
        <s v="2024-11-04"/>
        <s v="2024-11-11"/>
        <s v="2024-11-18"/>
        <s v="2024-11-25"/>
        <s v="2024-12-02"/>
        <s v="2024-12-09"/>
        <s v="2024-12-16"/>
        <s v="2024-12-23"/>
        <s v="2024-12-30"/>
        <s v="2025-01-06"/>
        <s v="2025-01-13"/>
        <s v="2025-01-20"/>
        <s v="2025-01-27"/>
        <s v="2025-02-03"/>
        <s v="2025-02-10"/>
        <s v="2025-02-17"/>
        <s v="2025-02-24"/>
        <s v="2025-03-03"/>
        <s v="2025-03-10"/>
        <s v="2025-03-17"/>
        <s v="2025-03-24"/>
        <s v="2025-03-31"/>
        <s v="2025-04-07"/>
        <s v="2025-04-14"/>
        <s v="2025-04-21"/>
        <s v="2025-04-28"/>
        <s v="2025-05-05"/>
        <s v="2025-05-12"/>
      </sharedItems>
    </cacheField>
    <cacheField name="Platform" numFmtId="0">
      <sharedItems/>
    </cacheField>
    <cacheField name="New_Followers" numFmtId="1">
      <sharedItems containsSemiMixedTypes="0" containsString="0" containsNumber="1" containsInteger="1" minValue="1016" maxValue="9984"/>
    </cacheField>
    <cacheField name="Unfollows" numFmtId="1">
      <sharedItems containsSemiMixedTypes="0" containsString="0" containsNumber="1" containsInteger="1" minValue="67" maxValue="1417"/>
    </cacheField>
    <cacheField name="Total_Followers" numFmtId="1">
      <sharedItems containsSemiMixedTypes="0" containsString="0" containsNumber="1" containsInteger="1" minValue="103777" maxValue="1186398"/>
    </cacheField>
    <cacheField name="Net Followers Gain" numFmtId="1">
      <sharedItems containsSemiMixedTypes="0" containsString="0" containsNumber="1" containsInteger="1" minValue="893" maxValue="9335"/>
    </cacheField>
    <cacheField name="Previous_Total_Followers" numFmtId="1">
      <sharedItems containsSemiMixedTypes="0" containsString="0" containsNumber="1" containsInteger="1" minValue="100000" maxValue="1178962"/>
    </cacheField>
    <cacheField name="Follower Growth Rate " numFmtId="2">
      <sharedItems containsSemiMixedTypes="0" containsString="0" containsNumber="1" minValue="7.752530207087184E-2" maxValue="7.3042649425855828"/>
    </cacheField>
    <cacheField name="Engagement_Rate" numFmtId="0">
      <sharedItems containsSemiMixedTypes="0" containsString="0" containsNumber="1" minValue="1.381177897889402" maxValue="92.312204605638044"/>
    </cacheField>
    <cacheField name="Ad_Spend" numFmtId="1">
      <sharedItems containsSemiMixedTypes="0" containsString="0" containsNumber="1" containsInteger="1" minValue="10161" maxValue="598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4138"/>
    <n v="361"/>
    <n v="103777"/>
    <n v="56.637790647253247"/>
    <n v="23944"/>
  </r>
  <r>
    <x v="0"/>
    <x v="1"/>
    <n v="8693"/>
    <n v="1261"/>
    <n v="111209"/>
    <n v="69.475492091467416"/>
    <n v="29873"/>
  </r>
  <r>
    <x v="0"/>
    <x v="2"/>
    <n v="9264"/>
    <n v="1141"/>
    <n v="119332"/>
    <n v="92.312204605638044"/>
    <n v="50372"/>
  </r>
  <r>
    <x v="0"/>
    <x v="2"/>
    <n v="8842"/>
    <n v="971"/>
    <n v="127203"/>
    <n v="16.351815601833291"/>
    <n v="33928"/>
  </r>
  <r>
    <x v="1"/>
    <x v="0"/>
    <n v="7721"/>
    <n v="506"/>
    <n v="134418"/>
    <n v="35.577824398518047"/>
    <n v="25379"/>
  </r>
  <r>
    <x v="1"/>
    <x v="2"/>
    <n v="8002"/>
    <n v="524"/>
    <n v="141896"/>
    <n v="52.064892597395271"/>
    <n v="46751"/>
  </r>
  <r>
    <x v="1"/>
    <x v="1"/>
    <n v="5225"/>
    <n v="291"/>
    <n v="146830"/>
    <n v="19.551862698358651"/>
    <n v="44546"/>
  </r>
  <r>
    <x v="1"/>
    <x v="1"/>
    <n v="3978"/>
    <n v="543"/>
    <n v="150265"/>
    <n v="49.159817655475329"/>
    <n v="34286"/>
  </r>
  <r>
    <x v="2"/>
    <x v="0"/>
    <n v="8373"/>
    <n v="921"/>
    <n v="157717"/>
    <n v="12.2263294381709"/>
    <n v="15110"/>
  </r>
  <r>
    <x v="2"/>
    <x v="1"/>
    <n v="6907"/>
    <n v="834"/>
    <n v="163790"/>
    <n v="54.158984064961238"/>
    <n v="22087"/>
  </r>
  <r>
    <x v="2"/>
    <x v="3"/>
    <n v="7097"/>
    <n v="369"/>
    <n v="170518"/>
    <n v="9.2506362964613711"/>
    <n v="33762"/>
  </r>
  <r>
    <x v="2"/>
    <x v="0"/>
    <n v="6656"/>
    <n v="978"/>
    <n v="176196"/>
    <n v="60.425889350496043"/>
    <n v="27081"/>
  </r>
  <r>
    <x v="3"/>
    <x v="1"/>
    <n v="9984"/>
    <n v="1330"/>
    <n v="184850"/>
    <n v="57.524479307546663"/>
    <n v="44947"/>
  </r>
  <r>
    <x v="3"/>
    <x v="0"/>
    <n v="5259"/>
    <n v="374"/>
    <n v="189735"/>
    <n v="14.827522597306769"/>
    <n v="19596"/>
  </r>
  <r>
    <x v="3"/>
    <x v="2"/>
    <n v="9286"/>
    <n v="633"/>
    <n v="198388"/>
    <n v="5.4343004617214756"/>
    <n v="48019"/>
  </r>
  <r>
    <x v="3"/>
    <x v="1"/>
    <n v="6901"/>
    <n v="471"/>
    <n v="204818"/>
    <n v="60.827661631301943"/>
    <n v="52003"/>
  </r>
  <r>
    <x v="4"/>
    <x v="3"/>
    <n v="5917"/>
    <n v="475"/>
    <n v="210260"/>
    <n v="17.894035955483691"/>
    <n v="28313"/>
  </r>
  <r>
    <x v="4"/>
    <x v="1"/>
    <n v="9429"/>
    <n v="966"/>
    <n v="218723"/>
    <n v="7.6914636320825887"/>
    <n v="57639"/>
  </r>
  <r>
    <x v="4"/>
    <x v="0"/>
    <n v="3530"/>
    <n v="328"/>
    <n v="221925"/>
    <n v="12.8372197814577"/>
    <n v="11013"/>
  </r>
  <r>
    <x v="4"/>
    <x v="0"/>
    <n v="2960"/>
    <n v="234"/>
    <n v="224651"/>
    <n v="17.41278694508371"/>
    <n v="59378"/>
  </r>
  <r>
    <x v="5"/>
    <x v="1"/>
    <n v="8045"/>
    <n v="894"/>
    <n v="231802"/>
    <n v="47.634187798207087"/>
    <n v="33705"/>
  </r>
  <r>
    <x v="5"/>
    <x v="3"/>
    <n v="2048"/>
    <n v="130"/>
    <n v="233720"/>
    <n v="39.284614068115687"/>
    <n v="11828"/>
  </r>
  <r>
    <x v="5"/>
    <x v="3"/>
    <n v="6772"/>
    <n v="536"/>
    <n v="239956"/>
    <n v="9.8205504342462788"/>
    <n v="17909"/>
  </r>
  <r>
    <x v="5"/>
    <x v="3"/>
    <n v="3529"/>
    <n v="305"/>
    <n v="243180"/>
    <n v="41.606628834608109"/>
    <n v="48356"/>
  </r>
  <r>
    <x v="6"/>
    <x v="0"/>
    <n v="3964"/>
    <n v="378"/>
    <n v="246766"/>
    <n v="13.6355899921383"/>
    <n v="23109"/>
  </r>
  <r>
    <x v="6"/>
    <x v="1"/>
    <n v="8137"/>
    <n v="1045"/>
    <n v="253858"/>
    <n v="20.47246886054408"/>
    <n v="12023"/>
  </r>
  <r>
    <x v="6"/>
    <x v="2"/>
    <n v="1963"/>
    <n v="137"/>
    <n v="255684"/>
    <n v="11.2083665774941"/>
    <n v="24537"/>
  </r>
  <r>
    <x v="6"/>
    <x v="0"/>
    <n v="1536"/>
    <n v="155"/>
    <n v="257065"/>
    <n v="12.15762550327738"/>
    <n v="36661"/>
  </r>
  <r>
    <x v="7"/>
    <x v="3"/>
    <n v="8340"/>
    <n v="911"/>
    <n v="264494"/>
    <n v="37.302925586213682"/>
    <n v="48659"/>
  </r>
  <r>
    <x v="7"/>
    <x v="1"/>
    <n v="8179"/>
    <n v="446"/>
    <n v="272227"/>
    <n v="41.82171496581897"/>
    <n v="43848"/>
  </r>
  <r>
    <x v="7"/>
    <x v="3"/>
    <n v="8967"/>
    <n v="993"/>
    <n v="280201"/>
    <n v="52.792102811910027"/>
    <n v="47804"/>
  </r>
  <r>
    <x v="7"/>
    <x v="2"/>
    <n v="9734"/>
    <n v="652"/>
    <n v="289283"/>
    <n v="49.647922622483861"/>
    <n v="25379"/>
  </r>
  <r>
    <x v="8"/>
    <x v="3"/>
    <n v="1845"/>
    <n v="104"/>
    <n v="291024"/>
    <n v="28.158158777282971"/>
    <n v="37766"/>
  </r>
  <r>
    <x v="8"/>
    <x v="3"/>
    <n v="6777"/>
    <n v="981"/>
    <n v="296820"/>
    <n v="23.920557913887201"/>
    <n v="53590"/>
  </r>
  <r>
    <x v="8"/>
    <x v="2"/>
    <n v="4036"/>
    <n v="591"/>
    <n v="300265"/>
    <n v="44.219272975538267"/>
    <n v="12563"/>
  </r>
  <r>
    <x v="8"/>
    <x v="1"/>
    <n v="6947"/>
    <n v="908"/>
    <n v="306304"/>
    <n v="14.117673944839121"/>
    <n v="46060"/>
  </r>
  <r>
    <x v="9"/>
    <x v="0"/>
    <n v="3494"/>
    <n v="281"/>
    <n v="309517"/>
    <n v="27.765518533715429"/>
    <n v="39197"/>
  </r>
  <r>
    <x v="9"/>
    <x v="1"/>
    <n v="3719"/>
    <n v="222"/>
    <n v="313014"/>
    <n v="21.669318305251519"/>
    <n v="13586"/>
  </r>
  <r>
    <x v="9"/>
    <x v="2"/>
    <n v="2884"/>
    <n v="341"/>
    <n v="315557"/>
    <n v="46.999749649033298"/>
    <n v="26087"/>
  </r>
  <r>
    <x v="9"/>
    <x v="3"/>
    <n v="5349"/>
    <n v="502"/>
    <n v="320404"/>
    <n v="5.2152906954969351"/>
    <n v="58868"/>
  </r>
  <r>
    <x v="10"/>
    <x v="1"/>
    <n v="6179"/>
    <n v="384"/>
    <n v="326199"/>
    <n v="14.71218489327067"/>
    <n v="33225"/>
  </r>
  <r>
    <x v="10"/>
    <x v="0"/>
    <n v="7610"/>
    <n v="757"/>
    <n v="333052"/>
    <n v="44.450416151231643"/>
    <n v="39750"/>
  </r>
  <r>
    <x v="10"/>
    <x v="2"/>
    <n v="7430"/>
    <n v="397"/>
    <n v="340085"/>
    <n v="28.065042562888689"/>
    <n v="16643"/>
  </r>
  <r>
    <x v="10"/>
    <x v="1"/>
    <n v="8154"/>
    <n v="1149"/>
    <n v="347090"/>
    <n v="26.003918292085629"/>
    <n v="37523"/>
  </r>
  <r>
    <x v="11"/>
    <x v="0"/>
    <n v="7488"/>
    <n v="568"/>
    <n v="354010"/>
    <n v="13.47730290104799"/>
    <n v="46727"/>
  </r>
  <r>
    <x v="11"/>
    <x v="2"/>
    <n v="5737"/>
    <n v="666"/>
    <n v="359081"/>
    <n v="4.6034181702735593"/>
    <n v="21005"/>
  </r>
  <r>
    <x v="11"/>
    <x v="0"/>
    <n v="7525"/>
    <n v="610"/>
    <n v="365996"/>
    <n v="5.7694619613329108"/>
    <n v="53543"/>
  </r>
  <r>
    <x v="11"/>
    <x v="2"/>
    <n v="4850"/>
    <n v="494"/>
    <n v="370352"/>
    <n v="20.46539508359615"/>
    <n v="10161"/>
  </r>
  <r>
    <x v="12"/>
    <x v="3"/>
    <n v="1689"/>
    <n v="176"/>
    <n v="371865"/>
    <n v="38.012181840183942"/>
    <n v="26029"/>
  </r>
  <r>
    <x v="12"/>
    <x v="1"/>
    <n v="6175"/>
    <n v="422"/>
    <n v="377618"/>
    <n v="37.86101298137271"/>
    <n v="59745"/>
  </r>
  <r>
    <x v="12"/>
    <x v="0"/>
    <n v="9648"/>
    <n v="1417"/>
    <n v="385849"/>
    <n v="3.6633501706626168"/>
    <n v="24226"/>
  </r>
  <r>
    <x v="12"/>
    <x v="2"/>
    <n v="6078"/>
    <n v="775"/>
    <n v="391152"/>
    <n v="37.760512537325639"/>
    <n v="38731"/>
  </r>
  <r>
    <x v="13"/>
    <x v="0"/>
    <n v="6448"/>
    <n v="928"/>
    <n v="396672"/>
    <n v="30.118586640851881"/>
    <n v="53922"/>
  </r>
  <r>
    <x v="13"/>
    <x v="0"/>
    <n v="2179"/>
    <n v="303"/>
    <n v="398548"/>
    <n v="33.909842729106657"/>
    <n v="54848"/>
  </r>
  <r>
    <x v="13"/>
    <x v="1"/>
    <n v="7406"/>
    <n v="813"/>
    <n v="405141"/>
    <n v="24.457411123534769"/>
    <n v="13390"/>
  </r>
  <r>
    <x v="13"/>
    <x v="3"/>
    <n v="9591"/>
    <n v="1363"/>
    <n v="413369"/>
    <n v="10.494255737609739"/>
    <n v="15997"/>
  </r>
  <r>
    <x v="14"/>
    <x v="0"/>
    <n v="7907"/>
    <n v="465"/>
    <n v="420811"/>
    <n v="33.257448118038738"/>
    <n v="22693"/>
  </r>
  <r>
    <x v="14"/>
    <x v="2"/>
    <n v="9800"/>
    <n v="682"/>
    <n v="429929"/>
    <n v="6.2966210699906267"/>
    <n v="59815"/>
  </r>
  <r>
    <x v="14"/>
    <x v="2"/>
    <n v="2638"/>
    <n v="143"/>
    <n v="432424"/>
    <n v="6.9547481175882924"/>
    <n v="52092"/>
  </r>
  <r>
    <x v="14"/>
    <x v="3"/>
    <n v="6671"/>
    <n v="550"/>
    <n v="438545"/>
    <n v="17.750287883797562"/>
    <n v="10541"/>
  </r>
  <r>
    <x v="15"/>
    <x v="2"/>
    <n v="7928"/>
    <n v="704"/>
    <n v="445769"/>
    <n v="11.194362999670229"/>
    <n v="31817"/>
  </r>
  <r>
    <x v="15"/>
    <x v="3"/>
    <n v="2382"/>
    <n v="183"/>
    <n v="447968"/>
    <n v="4.7335970426459033"/>
    <n v="47861"/>
  </r>
  <r>
    <x v="15"/>
    <x v="2"/>
    <n v="2403"/>
    <n v="319"/>
    <n v="450052"/>
    <n v="29.92120910472568"/>
    <n v="23428"/>
  </r>
  <r>
    <x v="15"/>
    <x v="1"/>
    <n v="4292"/>
    <n v="367"/>
    <n v="453977"/>
    <n v="3.5037017293827661"/>
    <n v="53934"/>
  </r>
  <r>
    <x v="16"/>
    <x v="0"/>
    <n v="1419"/>
    <n v="110"/>
    <n v="455286"/>
    <n v="31.554451487636339"/>
    <n v="58831"/>
  </r>
  <r>
    <x v="16"/>
    <x v="1"/>
    <n v="5517"/>
    <n v="575"/>
    <n v="460228"/>
    <n v="29.45844233727631"/>
    <n v="20258"/>
  </r>
  <r>
    <x v="16"/>
    <x v="0"/>
    <n v="4302"/>
    <n v="275"/>
    <n v="464255"/>
    <n v="15.72131694865968"/>
    <n v="26044"/>
  </r>
  <r>
    <x v="16"/>
    <x v="0"/>
    <n v="8857"/>
    <n v="1153"/>
    <n v="471959"/>
    <n v="19.214592793018038"/>
    <n v="39411"/>
  </r>
  <r>
    <x v="17"/>
    <x v="0"/>
    <n v="8870"/>
    <n v="509"/>
    <n v="480320"/>
    <n v="25.077864756828781"/>
    <n v="15469"/>
  </r>
  <r>
    <x v="17"/>
    <x v="1"/>
    <n v="6693"/>
    <n v="995"/>
    <n v="486018"/>
    <n v="23.761877132122681"/>
    <n v="38854"/>
  </r>
  <r>
    <x v="17"/>
    <x v="0"/>
    <n v="1767"/>
    <n v="224"/>
    <n v="487561"/>
    <n v="13.208603641390511"/>
    <n v="16256"/>
  </r>
  <r>
    <x v="17"/>
    <x v="1"/>
    <n v="3044"/>
    <n v="212"/>
    <n v="490393"/>
    <n v="8.5343795690395261"/>
    <n v="20720"/>
  </r>
  <r>
    <x v="18"/>
    <x v="3"/>
    <n v="2549"/>
    <n v="128"/>
    <n v="492814"/>
    <n v="12.734216154573531"/>
    <n v="43937"/>
  </r>
  <r>
    <x v="18"/>
    <x v="2"/>
    <n v="7140"/>
    <n v="939"/>
    <n v="499015"/>
    <n v="25.120888149654821"/>
    <n v="43598"/>
  </r>
  <r>
    <x v="18"/>
    <x v="2"/>
    <n v="4716"/>
    <n v="569"/>
    <n v="503162"/>
    <n v="25.64820077827817"/>
    <n v="11651"/>
  </r>
  <r>
    <x v="18"/>
    <x v="0"/>
    <n v="5481"/>
    <n v="673"/>
    <n v="507970"/>
    <n v="13.08758391243577"/>
    <n v="29194"/>
  </r>
  <r>
    <x v="19"/>
    <x v="1"/>
    <n v="8898"/>
    <n v="1131"/>
    <n v="515737"/>
    <n v="2.1877429775253669"/>
    <n v="35051"/>
  </r>
  <r>
    <x v="19"/>
    <x v="2"/>
    <n v="7548"/>
    <n v="433"/>
    <n v="522852"/>
    <n v="8.3562843787534522"/>
    <n v="37386"/>
  </r>
  <r>
    <x v="19"/>
    <x v="1"/>
    <n v="3293"/>
    <n v="282"/>
    <n v="525863"/>
    <n v="27.040693108281051"/>
    <n v="19518"/>
  </r>
  <r>
    <x v="19"/>
    <x v="1"/>
    <n v="5837"/>
    <n v="359"/>
    <n v="531341"/>
    <n v="6.8073045370110723"/>
    <n v="56026"/>
  </r>
  <r>
    <x v="20"/>
    <x v="0"/>
    <n v="8758"/>
    <n v="1193"/>
    <n v="538906"/>
    <n v="3.4213758985797149"/>
    <n v="26184"/>
  </r>
  <r>
    <x v="20"/>
    <x v="2"/>
    <n v="7793"/>
    <n v="875"/>
    <n v="545824"/>
    <n v="5.5136820660139527"/>
    <n v="43787"/>
  </r>
  <r>
    <x v="20"/>
    <x v="0"/>
    <n v="8638"/>
    <n v="717"/>
    <n v="553745"/>
    <n v="26.921416897669499"/>
    <n v="31621"/>
  </r>
  <r>
    <x v="20"/>
    <x v="0"/>
    <n v="8993"/>
    <n v="506"/>
    <n v="562232"/>
    <n v="3.5131404829323132"/>
    <n v="20028"/>
  </r>
  <r>
    <x v="21"/>
    <x v="2"/>
    <n v="7007"/>
    <n v="568"/>
    <n v="568671"/>
    <n v="11.50507059442103"/>
    <n v="22448"/>
  </r>
  <r>
    <x v="21"/>
    <x v="2"/>
    <n v="6542"/>
    <n v="539"/>
    <n v="574674"/>
    <n v="6.4069368024305948"/>
    <n v="55253"/>
  </r>
  <r>
    <x v="21"/>
    <x v="3"/>
    <n v="7356"/>
    <n v="904"/>
    <n v="581126"/>
    <n v="17.560907617280929"/>
    <n v="44051"/>
  </r>
  <r>
    <x v="21"/>
    <x v="3"/>
    <n v="9433"/>
    <n v="1073"/>
    <n v="589486"/>
    <n v="7.2934726185185053"/>
    <n v="59811"/>
  </r>
  <r>
    <x v="22"/>
    <x v="1"/>
    <n v="8380"/>
    <n v="1162"/>
    <n v="596704"/>
    <n v="18.05853488496809"/>
    <n v="40447"/>
  </r>
  <r>
    <x v="22"/>
    <x v="2"/>
    <n v="3385"/>
    <n v="329"/>
    <n v="599760"/>
    <n v="17.61788048552755"/>
    <n v="28394"/>
  </r>
  <r>
    <x v="22"/>
    <x v="3"/>
    <n v="5268"/>
    <n v="326"/>
    <n v="604702"/>
    <n v="23.435841125050029"/>
    <n v="44501"/>
  </r>
  <r>
    <x v="22"/>
    <x v="1"/>
    <n v="1671"/>
    <n v="202"/>
    <n v="606171"/>
    <n v="15.150015424690389"/>
    <n v="40254"/>
  </r>
  <r>
    <x v="23"/>
    <x v="1"/>
    <n v="1163"/>
    <n v="146"/>
    <n v="607188"/>
    <n v="21.77776899411715"/>
    <n v="28509"/>
  </r>
  <r>
    <x v="23"/>
    <x v="1"/>
    <n v="9656"/>
    <n v="1024"/>
    <n v="615820"/>
    <n v="8.7252768666168681"/>
    <n v="58998"/>
  </r>
  <r>
    <x v="23"/>
    <x v="3"/>
    <n v="5592"/>
    <n v="710"/>
    <n v="620702"/>
    <n v="9.07118069540617"/>
    <n v="24472"/>
  </r>
  <r>
    <x v="23"/>
    <x v="2"/>
    <n v="5795"/>
    <n v="575"/>
    <n v="625922"/>
    <n v="3.0908004511744269"/>
    <n v="55657"/>
  </r>
  <r>
    <x v="24"/>
    <x v="0"/>
    <n v="5798"/>
    <n v="592"/>
    <n v="631128"/>
    <n v="1.6774727155188811"/>
    <n v="13471"/>
  </r>
  <r>
    <x v="24"/>
    <x v="1"/>
    <n v="7036"/>
    <n v="652"/>
    <n v="637512"/>
    <n v="3.5705994553828009"/>
    <n v="51796"/>
  </r>
  <r>
    <x v="24"/>
    <x v="3"/>
    <n v="3355"/>
    <n v="176"/>
    <n v="640691"/>
    <n v="12.426427091999111"/>
    <n v="40268"/>
  </r>
  <r>
    <x v="24"/>
    <x v="3"/>
    <n v="6887"/>
    <n v="418"/>
    <n v="647160"/>
    <n v="20.240280610668151"/>
    <n v="18329"/>
  </r>
  <r>
    <x v="25"/>
    <x v="0"/>
    <n v="8961"/>
    <n v="476"/>
    <n v="655645"/>
    <n v="15.458517947974901"/>
    <n v="44865"/>
  </r>
  <r>
    <x v="25"/>
    <x v="0"/>
    <n v="6827"/>
    <n v="775"/>
    <n v="661697"/>
    <n v="15.96622018839439"/>
    <n v="56850"/>
  </r>
  <r>
    <x v="25"/>
    <x v="3"/>
    <n v="9737"/>
    <n v="792"/>
    <n v="670642"/>
    <n v="5.301785453341723"/>
    <n v="56698"/>
  </r>
  <r>
    <x v="25"/>
    <x v="2"/>
    <n v="5719"/>
    <n v="576"/>
    <n v="675785"/>
    <n v="10.21656296011305"/>
    <n v="38272"/>
  </r>
  <r>
    <x v="26"/>
    <x v="0"/>
    <n v="1593"/>
    <n v="224"/>
    <n v="677154"/>
    <n v="4.1495730660972248"/>
    <n v="52845"/>
  </r>
  <r>
    <x v="26"/>
    <x v="3"/>
    <n v="5839"/>
    <n v="437"/>
    <n v="682556"/>
    <n v="17.44750613869045"/>
    <n v="16397"/>
  </r>
  <r>
    <x v="26"/>
    <x v="0"/>
    <n v="8394"/>
    <n v="764"/>
    <n v="690186"/>
    <n v="6.3556780346167558"/>
    <n v="42373"/>
  </r>
  <r>
    <x v="26"/>
    <x v="2"/>
    <n v="4493"/>
    <n v="564"/>
    <n v="694115"/>
    <n v="16.625487131094989"/>
    <n v="45525"/>
  </r>
  <r>
    <x v="27"/>
    <x v="1"/>
    <n v="7164"/>
    <n v="522"/>
    <n v="700757"/>
    <n v="13.449169969047761"/>
    <n v="34570"/>
  </r>
  <r>
    <x v="27"/>
    <x v="0"/>
    <n v="3672"/>
    <n v="211"/>
    <n v="704218"/>
    <n v="12.35057894004413"/>
    <n v="28284"/>
  </r>
  <r>
    <x v="27"/>
    <x v="2"/>
    <n v="5200"/>
    <n v="410"/>
    <n v="709008"/>
    <n v="12.913394489201821"/>
    <n v="28994"/>
  </r>
  <r>
    <x v="27"/>
    <x v="3"/>
    <n v="1016"/>
    <n v="67"/>
    <n v="709957"/>
    <n v="20.774215903216671"/>
    <n v="33284"/>
  </r>
  <r>
    <x v="28"/>
    <x v="0"/>
    <n v="4191"/>
    <n v="599"/>
    <n v="713549"/>
    <n v="11.56416728213479"/>
    <n v="27833"/>
  </r>
  <r>
    <x v="28"/>
    <x v="0"/>
    <n v="1392"/>
    <n v="182"/>
    <n v="714759"/>
    <n v="5.9603306848881932"/>
    <n v="35122"/>
  </r>
  <r>
    <x v="28"/>
    <x v="3"/>
    <n v="9616"/>
    <n v="1089"/>
    <n v="723286"/>
    <n v="19.25863351426683"/>
    <n v="15017"/>
  </r>
  <r>
    <x v="28"/>
    <x v="1"/>
    <n v="7272"/>
    <n v="997"/>
    <n v="729561"/>
    <n v="13.428486445958599"/>
    <n v="26370"/>
  </r>
  <r>
    <x v="29"/>
    <x v="3"/>
    <n v="1571"/>
    <n v="204"/>
    <n v="730928"/>
    <n v="19.449384891535139"/>
    <n v="39252"/>
  </r>
  <r>
    <x v="29"/>
    <x v="0"/>
    <n v="4631"/>
    <n v="317"/>
    <n v="735242"/>
    <n v="1.381177897889402"/>
    <n v="17999"/>
  </r>
  <r>
    <x v="29"/>
    <x v="3"/>
    <n v="7172"/>
    <n v="998"/>
    <n v="741416"/>
    <n v="18.0667803230575"/>
    <n v="32436"/>
  </r>
  <r>
    <x v="29"/>
    <x v="2"/>
    <n v="8177"/>
    <n v="849"/>
    <n v="748744"/>
    <n v="10.34986590877523"/>
    <n v="52963"/>
  </r>
  <r>
    <x v="30"/>
    <x v="3"/>
    <n v="9433"/>
    <n v="1233"/>
    <n v="756944"/>
    <n v="11.391727789638329"/>
    <n v="12096"/>
  </r>
  <r>
    <x v="30"/>
    <x v="0"/>
    <n v="4897"/>
    <n v="683"/>
    <n v="761158"/>
    <n v="15.06231294947961"/>
    <n v="58201"/>
  </r>
  <r>
    <x v="30"/>
    <x v="3"/>
    <n v="9123"/>
    <n v="746"/>
    <n v="769535"/>
    <n v="6.3086149427901264"/>
    <n v="35279"/>
  </r>
  <r>
    <x v="30"/>
    <x v="1"/>
    <n v="3279"/>
    <n v="200"/>
    <n v="772614"/>
    <n v="5.0212654702089274"/>
    <n v="53363"/>
  </r>
  <r>
    <x v="31"/>
    <x v="3"/>
    <n v="9980"/>
    <n v="726"/>
    <n v="781868"/>
    <n v="4.0220344099003924"/>
    <n v="58709"/>
  </r>
  <r>
    <x v="31"/>
    <x v="1"/>
    <n v="8451"/>
    <n v="783"/>
    <n v="789536"/>
    <n v="12.407287318121019"/>
    <n v="36201"/>
  </r>
  <r>
    <x v="31"/>
    <x v="2"/>
    <n v="9906"/>
    <n v="1305"/>
    <n v="798137"/>
    <n v="9.1811305577864442"/>
    <n v="29715"/>
  </r>
  <r>
    <x v="31"/>
    <x v="1"/>
    <n v="1775"/>
    <n v="241"/>
    <n v="799671"/>
    <n v="8.1379717408784362"/>
    <n v="39309"/>
  </r>
  <r>
    <x v="32"/>
    <x v="3"/>
    <n v="7869"/>
    <n v="398"/>
    <n v="807142"/>
    <n v="15.211945357818079"/>
    <n v="25078"/>
  </r>
  <r>
    <x v="32"/>
    <x v="0"/>
    <n v="3247"/>
    <n v="328"/>
    <n v="810061"/>
    <n v="13.941172331466399"/>
    <n v="15105"/>
  </r>
  <r>
    <x v="32"/>
    <x v="1"/>
    <n v="8088"/>
    <n v="742"/>
    <n v="817407"/>
    <n v="14.664542877660701"/>
    <n v="39312"/>
  </r>
  <r>
    <x v="32"/>
    <x v="2"/>
    <n v="1078"/>
    <n v="77"/>
    <n v="818408"/>
    <n v="18.236747441373989"/>
    <n v="12839"/>
  </r>
  <r>
    <x v="33"/>
    <x v="1"/>
    <n v="9080"/>
    <n v="562"/>
    <n v="826926"/>
    <n v="7.1083748727213809"/>
    <n v="13384"/>
  </r>
  <r>
    <x v="33"/>
    <x v="1"/>
    <n v="8099"/>
    <n v="678"/>
    <n v="834347"/>
    <n v="7.6464588474579518"/>
    <n v="53619"/>
  </r>
  <r>
    <x v="33"/>
    <x v="1"/>
    <n v="4926"/>
    <n v="710"/>
    <n v="838563"/>
    <n v="12.96217457722318"/>
    <n v="52821"/>
  </r>
  <r>
    <x v="33"/>
    <x v="2"/>
    <n v="8340"/>
    <n v="686"/>
    <n v="846217"/>
    <n v="7.201344336027284"/>
    <n v="23493"/>
  </r>
  <r>
    <x v="34"/>
    <x v="3"/>
    <n v="8083"/>
    <n v="823"/>
    <n v="853477"/>
    <n v="4.6300017457998282"/>
    <n v="27069"/>
  </r>
  <r>
    <x v="34"/>
    <x v="1"/>
    <n v="7230"/>
    <n v="869"/>
    <n v="859838"/>
    <n v="7.0117859410726204"/>
    <n v="56907"/>
  </r>
  <r>
    <x v="34"/>
    <x v="1"/>
    <n v="5940"/>
    <n v="512"/>
    <n v="865266"/>
    <n v="15.7972230504839"/>
    <n v="17531"/>
  </r>
  <r>
    <x v="34"/>
    <x v="0"/>
    <n v="4271"/>
    <n v="628"/>
    <n v="868909"/>
    <n v="11.124410036033691"/>
    <n v="47051"/>
  </r>
  <r>
    <x v="35"/>
    <x v="2"/>
    <n v="4456"/>
    <n v="651"/>
    <n v="872714"/>
    <n v="9.5052903929580594"/>
    <n v="17736"/>
  </r>
  <r>
    <x v="35"/>
    <x v="1"/>
    <n v="8788"/>
    <n v="660"/>
    <n v="880842"/>
    <n v="3.7175793161543158"/>
    <n v="17710"/>
  </r>
  <r>
    <x v="35"/>
    <x v="2"/>
    <n v="9599"/>
    <n v="957"/>
    <n v="889484"/>
    <n v="8.768004820772493"/>
    <n v="11619"/>
  </r>
  <r>
    <x v="35"/>
    <x v="1"/>
    <n v="8650"/>
    <n v="692"/>
    <n v="897442"/>
    <n v="7.6673478620345374"/>
    <n v="23975"/>
  </r>
  <r>
    <x v="36"/>
    <x v="3"/>
    <n v="3711"/>
    <n v="291"/>
    <n v="900862"/>
    <n v="14.24879726306582"/>
    <n v="55603"/>
  </r>
  <r>
    <x v="36"/>
    <x v="3"/>
    <n v="2668"/>
    <n v="143"/>
    <n v="903387"/>
    <n v="15.903372530266649"/>
    <n v="33252"/>
  </r>
  <r>
    <x v="36"/>
    <x v="1"/>
    <n v="1147"/>
    <n v="127"/>
    <n v="904407"/>
    <n v="1.3997016829812241"/>
    <n v="25261"/>
  </r>
  <r>
    <x v="36"/>
    <x v="3"/>
    <n v="7420"/>
    <n v="743"/>
    <n v="911084"/>
    <n v="10.593534734448189"/>
    <n v="11431"/>
  </r>
  <r>
    <x v="37"/>
    <x v="1"/>
    <n v="1365"/>
    <n v="75"/>
    <n v="912374"/>
    <n v="9.2688963078737441"/>
    <n v="19067"/>
  </r>
  <r>
    <x v="37"/>
    <x v="3"/>
    <n v="5531"/>
    <n v="430"/>
    <n v="917475"/>
    <n v="2.7289026948963189"/>
    <n v="47481"/>
  </r>
  <r>
    <x v="37"/>
    <x v="0"/>
    <n v="6330"/>
    <n v="891"/>
    <n v="922914"/>
    <n v="14.789893749580139"/>
    <n v="37037"/>
  </r>
  <r>
    <x v="37"/>
    <x v="0"/>
    <n v="6510"/>
    <n v="481"/>
    <n v="928943"/>
    <n v="2.3800168578696428"/>
    <n v="19557"/>
  </r>
  <r>
    <x v="38"/>
    <x v="0"/>
    <n v="9754"/>
    <n v="629"/>
    <n v="938068"/>
    <n v="3.4123325814333292"/>
    <n v="19435"/>
  </r>
  <r>
    <x v="38"/>
    <x v="2"/>
    <n v="9964"/>
    <n v="985"/>
    <n v="947047"/>
    <n v="1.9837452629066989"/>
    <n v="47766"/>
  </r>
  <r>
    <x v="38"/>
    <x v="2"/>
    <n v="7493"/>
    <n v="1113"/>
    <n v="953427"/>
    <n v="15.684892498324469"/>
    <n v="10162"/>
  </r>
  <r>
    <x v="38"/>
    <x v="0"/>
    <n v="6439"/>
    <n v="477"/>
    <n v="959389"/>
    <n v="7.4744446725989153"/>
    <n v="44742"/>
  </r>
  <r>
    <x v="39"/>
    <x v="2"/>
    <n v="7511"/>
    <n v="880"/>
    <n v="966020"/>
    <n v="4.6083932009689246"/>
    <n v="29675"/>
  </r>
  <r>
    <x v="39"/>
    <x v="3"/>
    <n v="8504"/>
    <n v="1072"/>
    <n v="973452"/>
    <n v="6.5651927367759271"/>
    <n v="18461"/>
  </r>
  <r>
    <x v="39"/>
    <x v="1"/>
    <n v="2246"/>
    <n v="165"/>
    <n v="975533"/>
    <n v="2.9062061457685191"/>
    <n v="27015"/>
  </r>
  <r>
    <x v="39"/>
    <x v="1"/>
    <n v="4839"/>
    <n v="594"/>
    <n v="979778"/>
    <n v="2.5803804535313102"/>
    <n v="42591"/>
  </r>
  <r>
    <x v="40"/>
    <x v="1"/>
    <n v="9551"/>
    <n v="828"/>
    <n v="988501"/>
    <n v="1.525036393488727"/>
    <n v="38047"/>
  </r>
  <r>
    <x v="40"/>
    <x v="0"/>
    <n v="3376"/>
    <n v="382"/>
    <n v="991495"/>
    <n v="3.8694093263203548"/>
    <n v="44782"/>
  </r>
  <r>
    <x v="40"/>
    <x v="2"/>
    <n v="4009"/>
    <n v="454"/>
    <n v="995050"/>
    <n v="2.1106477061454201"/>
    <n v="19833"/>
  </r>
  <r>
    <x v="40"/>
    <x v="3"/>
    <n v="2827"/>
    <n v="292"/>
    <n v="997585"/>
    <n v="2.4004972007397871"/>
    <n v="17896"/>
  </r>
  <r>
    <x v="41"/>
    <x v="3"/>
    <n v="7979"/>
    <n v="470"/>
    <n v="1005094"/>
    <n v="10.43086517280971"/>
    <n v="42972"/>
  </r>
  <r>
    <x v="41"/>
    <x v="0"/>
    <n v="9569"/>
    <n v="1277"/>
    <n v="1013386"/>
    <n v="12.45517502708741"/>
    <n v="59733"/>
  </r>
  <r>
    <x v="41"/>
    <x v="3"/>
    <n v="5285"/>
    <n v="433"/>
    <n v="1018238"/>
    <n v="8.7022876773406619"/>
    <n v="51800"/>
  </r>
  <r>
    <x v="41"/>
    <x v="3"/>
    <n v="7910"/>
    <n v="543"/>
    <n v="1025605"/>
    <n v="6.0590578244060822"/>
    <n v="40508"/>
  </r>
  <r>
    <x v="42"/>
    <x v="3"/>
    <n v="9561"/>
    <n v="517"/>
    <n v="1034649"/>
    <n v="6.4086467971263694"/>
    <n v="15347"/>
  </r>
  <r>
    <x v="42"/>
    <x v="3"/>
    <n v="3196"/>
    <n v="348"/>
    <n v="1037497"/>
    <n v="14.03040201562029"/>
    <n v="40314"/>
  </r>
  <r>
    <x v="42"/>
    <x v="2"/>
    <n v="4747"/>
    <n v="558"/>
    <n v="1041686"/>
    <n v="5.7680529449373434"/>
    <n v="12643"/>
  </r>
  <r>
    <x v="42"/>
    <x v="3"/>
    <n v="9843"/>
    <n v="508"/>
    <n v="1051021"/>
    <n v="4.2080986012648651"/>
    <n v="50785"/>
  </r>
  <r>
    <x v="43"/>
    <x v="1"/>
    <n v="6978"/>
    <n v="706"/>
    <n v="1057293"/>
    <n v="5.057443868445171"/>
    <n v="28681"/>
  </r>
  <r>
    <x v="43"/>
    <x v="0"/>
    <n v="6607"/>
    <n v="479"/>
    <n v="1063421"/>
    <n v="5.5892257158735816"/>
    <n v="48328"/>
  </r>
  <r>
    <x v="43"/>
    <x v="2"/>
    <n v="1769"/>
    <n v="202"/>
    <n v="1064988"/>
    <n v="6.5457075572682513"/>
    <n v="25892"/>
  </r>
  <r>
    <x v="43"/>
    <x v="3"/>
    <n v="1780"/>
    <n v="120"/>
    <n v="1066648"/>
    <n v="13.86474263299608"/>
    <n v="57299"/>
  </r>
  <r>
    <x v="44"/>
    <x v="2"/>
    <n v="7303"/>
    <n v="869"/>
    <n v="1073082"/>
    <n v="8.1237966902808925"/>
    <n v="27073"/>
  </r>
  <r>
    <x v="44"/>
    <x v="3"/>
    <n v="4983"/>
    <n v="441"/>
    <n v="1077624"/>
    <n v="6.8954477628560609"/>
    <n v="46768"/>
  </r>
  <r>
    <x v="44"/>
    <x v="1"/>
    <n v="9714"/>
    <n v="1395"/>
    <n v="1085943"/>
    <n v="5.2243073531483697"/>
    <n v="40682"/>
  </r>
  <r>
    <x v="44"/>
    <x v="0"/>
    <n v="1521"/>
    <n v="96"/>
    <n v="1087368"/>
    <n v="12.709772588488899"/>
    <n v="42262"/>
  </r>
  <r>
    <x v="45"/>
    <x v="3"/>
    <n v="8569"/>
    <n v="720"/>
    <n v="1095217"/>
    <n v="9.589697749395782"/>
    <n v="41358"/>
  </r>
  <r>
    <x v="45"/>
    <x v="3"/>
    <n v="6784"/>
    <n v="416"/>
    <n v="1101585"/>
    <n v="9.3041390360253633"/>
    <n v="24289"/>
  </r>
  <r>
    <x v="45"/>
    <x v="3"/>
    <n v="5583"/>
    <n v="795"/>
    <n v="1106373"/>
    <n v="12.21550055903389"/>
    <n v="59823"/>
  </r>
  <r>
    <x v="45"/>
    <x v="3"/>
    <n v="6946"/>
    <n v="956"/>
    <n v="1112363"/>
    <n v="1.64146056637986"/>
    <n v="17927"/>
  </r>
  <r>
    <x v="46"/>
    <x v="0"/>
    <n v="5941"/>
    <n v="450"/>
    <n v="1117854"/>
    <n v="12.414411899944"/>
    <n v="58330"/>
  </r>
  <r>
    <x v="46"/>
    <x v="0"/>
    <n v="7267"/>
    <n v="842"/>
    <n v="1124279"/>
    <n v="2.2102165031989389"/>
    <n v="11171"/>
  </r>
  <r>
    <x v="46"/>
    <x v="1"/>
    <n v="8128"/>
    <n v="1070"/>
    <n v="1131337"/>
    <n v="8.1114645768679008"/>
    <n v="21918"/>
  </r>
  <r>
    <x v="46"/>
    <x v="0"/>
    <n v="3461"/>
    <n v="365"/>
    <n v="1134433"/>
    <n v="10.23489267325616"/>
    <n v="51903"/>
  </r>
  <r>
    <x v="47"/>
    <x v="3"/>
    <n v="1685"/>
    <n v="173"/>
    <n v="1135945"/>
    <n v="8.7776256772995165"/>
    <n v="49110"/>
  </r>
  <r>
    <x v="47"/>
    <x v="1"/>
    <n v="3160"/>
    <n v="234"/>
    <n v="1138871"/>
    <n v="5.6959041015180816"/>
    <n v="21929"/>
  </r>
  <r>
    <x v="47"/>
    <x v="1"/>
    <n v="8031"/>
    <n v="476"/>
    <n v="1146426"/>
    <n v="11.940413075069831"/>
    <n v="12539"/>
  </r>
  <r>
    <x v="47"/>
    <x v="1"/>
    <n v="6341"/>
    <n v="885"/>
    <n v="1151882"/>
    <n v="6.3457020771224837"/>
    <n v="46727"/>
  </r>
  <r>
    <x v="48"/>
    <x v="3"/>
    <n v="1038"/>
    <n v="145"/>
    <n v="1152775"/>
    <n v="11.093752033137431"/>
    <n v="55951"/>
  </r>
  <r>
    <x v="48"/>
    <x v="2"/>
    <n v="5875"/>
    <n v="665"/>
    <n v="1157985"/>
    <n v="6.9871371390821126"/>
    <n v="32669"/>
  </r>
  <r>
    <x v="48"/>
    <x v="3"/>
    <n v="2256"/>
    <n v="189"/>
    <n v="1160052"/>
    <n v="2.8935771844710412"/>
    <n v="15432"/>
  </r>
  <r>
    <x v="48"/>
    <x v="0"/>
    <n v="8697"/>
    <n v="738"/>
    <n v="1168011"/>
    <n v="3.8777032065622672"/>
    <n v="30644"/>
  </r>
  <r>
    <x v="49"/>
    <x v="0"/>
    <n v="3196"/>
    <n v="391"/>
    <n v="1170816"/>
    <n v="7.2439221876024931"/>
    <n v="28745"/>
  </r>
  <r>
    <x v="49"/>
    <x v="3"/>
    <n v="8165"/>
    <n v="1140"/>
    <n v="1177841"/>
    <n v="9.095964565675672"/>
    <n v="38228"/>
  </r>
  <r>
    <x v="49"/>
    <x v="3"/>
    <n v="1301"/>
    <n v="180"/>
    <n v="1178962"/>
    <n v="5.2275645864752214"/>
    <n v="44521"/>
  </r>
  <r>
    <x v="49"/>
    <x v="1"/>
    <n v="8527"/>
    <n v="1091"/>
    <n v="1186398"/>
    <n v="1.676081719625286"/>
    <n v="4170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Instagram"/>
    <n v="4138"/>
    <n v="361"/>
    <n v="103777"/>
    <n v="3777"/>
    <n v="100000"/>
    <n v="3.7769999999999997"/>
    <n v="56.637790647253247"/>
    <n v="23944"/>
  </r>
  <r>
    <x v="0"/>
    <s v="Twitter"/>
    <n v="8693"/>
    <n v="1261"/>
    <n v="111209"/>
    <n v="7432"/>
    <n v="103777"/>
    <n v="7.161509775769197"/>
    <n v="69.475492091467416"/>
    <n v="29873"/>
  </r>
  <r>
    <x v="0"/>
    <s v="Youtube"/>
    <n v="9264"/>
    <n v="1141"/>
    <n v="119332"/>
    <n v="8123"/>
    <n v="111209"/>
    <n v="7.3042649425855828"/>
    <n v="92.312204605638044"/>
    <n v="50372"/>
  </r>
  <r>
    <x v="0"/>
    <s v="Youtube"/>
    <n v="8842"/>
    <n v="971"/>
    <n v="127203"/>
    <n v="7871"/>
    <n v="119332"/>
    <n v="6.5958837528910932"/>
    <n v="16.351815601833291"/>
    <n v="33928"/>
  </r>
  <r>
    <x v="1"/>
    <s v="Instagram"/>
    <n v="7721"/>
    <n v="506"/>
    <n v="134418"/>
    <n v="7215"/>
    <n v="127203"/>
    <n v="5.6720360368859222"/>
    <n v="35.577824398518047"/>
    <n v="25379"/>
  </r>
  <r>
    <x v="1"/>
    <s v="Youtube"/>
    <n v="8002"/>
    <n v="524"/>
    <n v="141896"/>
    <n v="7478"/>
    <n v="134418"/>
    <n v="5.563243018048178"/>
    <n v="52.0648925973953"/>
    <n v="46751"/>
  </r>
  <r>
    <x v="1"/>
    <s v="Twitter"/>
    <n v="5225"/>
    <n v="291"/>
    <n v="146830"/>
    <n v="4934"/>
    <n v="141896"/>
    <n v="3.4771945650335456"/>
    <n v="19.551862698358651"/>
    <n v="44546"/>
  </r>
  <r>
    <x v="1"/>
    <s v="Twitter"/>
    <n v="3978"/>
    <n v="543"/>
    <n v="150265"/>
    <n v="3435"/>
    <n v="146830"/>
    <n v="2.3394401689028128"/>
    <n v="49.159817655475329"/>
    <n v="34286"/>
  </r>
  <r>
    <x v="2"/>
    <s v="Instagram"/>
    <n v="8373"/>
    <n v="921"/>
    <n v="157717"/>
    <n v="7452"/>
    <n v="150265"/>
    <n v="4.9592386783349411"/>
    <n v="12.2263294381709"/>
    <n v="15110"/>
  </r>
  <r>
    <x v="2"/>
    <s v="Twitter"/>
    <n v="6907"/>
    <n v="834"/>
    <n v="163790"/>
    <n v="6073"/>
    <n v="157717"/>
    <n v="3.8505677891413099"/>
    <n v="54.158984064961238"/>
    <n v="22087"/>
  </r>
  <r>
    <x v="2"/>
    <s v="Linkedin"/>
    <n v="7097"/>
    <n v="369"/>
    <n v="170518"/>
    <n v="6728"/>
    <n v="163790"/>
    <n v="4.1076988827156731"/>
    <n v="9.2506362964613711"/>
    <n v="33762"/>
  </r>
  <r>
    <x v="2"/>
    <s v="Instagram"/>
    <n v="6656"/>
    <n v="978"/>
    <n v="176196"/>
    <n v="5678"/>
    <n v="170518"/>
    <n v="3.3298537397811376"/>
    <n v="60.425889350496043"/>
    <n v="27081"/>
  </r>
  <r>
    <x v="3"/>
    <s v="Twitter"/>
    <n v="9984"/>
    <n v="1330"/>
    <n v="184850"/>
    <n v="8654"/>
    <n v="176196"/>
    <n v="4.9115757451928532"/>
    <n v="57.524479307546663"/>
    <n v="44947"/>
  </r>
  <r>
    <x v="3"/>
    <s v="Instagram"/>
    <n v="5259"/>
    <n v="374"/>
    <n v="189735"/>
    <n v="4885"/>
    <n v="184850"/>
    <n v="2.642683256694617"/>
    <n v="14.827522597306769"/>
    <n v="19596"/>
  </r>
  <r>
    <x v="3"/>
    <s v="Youtube"/>
    <n v="9286"/>
    <n v="633"/>
    <n v="198388"/>
    <n v="8653"/>
    <n v="189735"/>
    <n v="4.560571323161251"/>
    <n v="5.4343004617214756"/>
    <n v="48019"/>
  </r>
  <r>
    <x v="3"/>
    <s v="Twitter"/>
    <n v="6901"/>
    <n v="471"/>
    <n v="204818"/>
    <n v="6430"/>
    <n v="198388"/>
    <n v="3.241123455047684"/>
    <n v="60.827661631301943"/>
    <n v="52003"/>
  </r>
  <r>
    <x v="4"/>
    <s v="Linkedin"/>
    <n v="5917"/>
    <n v="475"/>
    <n v="210260"/>
    <n v="5442"/>
    <n v="204818"/>
    <n v="2.656993037721294"/>
    <n v="17.894035955483691"/>
    <n v="28313"/>
  </r>
  <r>
    <x v="4"/>
    <s v="Twitter"/>
    <n v="9429"/>
    <n v="966"/>
    <n v="218723"/>
    <n v="8463"/>
    <n v="210260"/>
    <n v="4.0250166460572627"/>
    <n v="7.6914636320825887"/>
    <n v="57639"/>
  </r>
  <r>
    <x v="4"/>
    <s v="Instagram"/>
    <n v="3530"/>
    <n v="328"/>
    <n v="221925"/>
    <n v="3202"/>
    <n v="218723"/>
    <n v="1.4639521220904981"/>
    <n v="12.8372197814577"/>
    <n v="11013"/>
  </r>
  <r>
    <x v="4"/>
    <s v="Instagram"/>
    <n v="2960"/>
    <n v="234"/>
    <n v="224651"/>
    <n v="2726"/>
    <n v="221925"/>
    <n v="1.2283429086403064"/>
    <n v="17.41278694508371"/>
    <n v="59378"/>
  </r>
  <r>
    <x v="5"/>
    <s v="Twitter"/>
    <n v="8045"/>
    <n v="894"/>
    <n v="231802"/>
    <n v="7151"/>
    <n v="224651"/>
    <n v="3.1831596565339124"/>
    <n v="47.634187798207087"/>
    <n v="33705"/>
  </r>
  <r>
    <x v="5"/>
    <s v="Linkedin"/>
    <n v="2048"/>
    <n v="130"/>
    <n v="233720"/>
    <n v="1918"/>
    <n v="231802"/>
    <n v="0.8274303068998542"/>
    <n v="39.284614068115687"/>
    <n v="11828"/>
  </r>
  <r>
    <x v="5"/>
    <s v="Linkedin"/>
    <n v="6772"/>
    <n v="536"/>
    <n v="239956"/>
    <n v="6236"/>
    <n v="233720"/>
    <n v="2.6681499229847678"/>
    <n v="9.8205504342462788"/>
    <n v="17909"/>
  </r>
  <r>
    <x v="5"/>
    <s v="Linkedin"/>
    <n v="3529"/>
    <n v="305"/>
    <n v="243180"/>
    <n v="3224"/>
    <n v="239956"/>
    <n v="1.3435796562703162"/>
    <n v="41.606628834608109"/>
    <n v="48356"/>
  </r>
  <r>
    <x v="6"/>
    <s v="Instagram"/>
    <n v="3964"/>
    <n v="378"/>
    <n v="246766"/>
    <n v="3586"/>
    <n v="243180"/>
    <n v="1.4746278476848425"/>
    <n v="13.6355899921383"/>
    <n v="23109"/>
  </r>
  <r>
    <x v="6"/>
    <s v="Twitter"/>
    <n v="8137"/>
    <n v="1045"/>
    <n v="253858"/>
    <n v="7092"/>
    <n v="246766"/>
    <n v="2.873977776517024"/>
    <n v="20.47246886054408"/>
    <n v="12023"/>
  </r>
  <r>
    <x v="6"/>
    <s v="Youtube"/>
    <n v="1963"/>
    <n v="137"/>
    <n v="255684"/>
    <n v="1826"/>
    <n v="253858"/>
    <n v="0.71929976601091949"/>
    <n v="11.2083665774941"/>
    <n v="24537"/>
  </r>
  <r>
    <x v="6"/>
    <s v="Instagram"/>
    <n v="1536"/>
    <n v="155"/>
    <n v="257065"/>
    <n v="1381"/>
    <n v="255684"/>
    <n v="0.54011983542184883"/>
    <n v="12.15762550327738"/>
    <n v="36661"/>
  </r>
  <r>
    <x v="7"/>
    <s v="Linkedin"/>
    <n v="8340"/>
    <n v="911"/>
    <n v="264494"/>
    <n v="7429"/>
    <n v="257065"/>
    <n v="2.8899305623091438"/>
    <n v="37.302925586213682"/>
    <n v="48659"/>
  </r>
  <r>
    <x v="7"/>
    <s v="Twitter"/>
    <n v="8179"/>
    <n v="446"/>
    <n v="272227"/>
    <n v="7733"/>
    <n v="264494"/>
    <n v="2.9236958116252163"/>
    <n v="41.82171496581897"/>
    <n v="43848"/>
  </r>
  <r>
    <x v="7"/>
    <s v="Linkedin"/>
    <n v="8967"/>
    <n v="993"/>
    <n v="280201"/>
    <n v="7974"/>
    <n v="272227"/>
    <n v="2.9291730798194155"/>
    <n v="52.792102811910027"/>
    <n v="47804"/>
  </r>
  <r>
    <x v="7"/>
    <s v="Youtube"/>
    <n v="9734"/>
    <n v="652"/>
    <n v="289283"/>
    <n v="9082"/>
    <n v="280201"/>
    <n v="3.2412446779276309"/>
    <n v="49.647922622483861"/>
    <n v="25379"/>
  </r>
  <r>
    <x v="8"/>
    <s v="Linkedin"/>
    <n v="1845"/>
    <n v="104"/>
    <n v="291024"/>
    <n v="1741"/>
    <n v="289283"/>
    <n v="0.60183280732016742"/>
    <n v="28.158158777282971"/>
    <n v="37766"/>
  </r>
  <r>
    <x v="8"/>
    <s v="Linkedin"/>
    <n v="6777"/>
    <n v="981"/>
    <n v="296820"/>
    <n v="5796"/>
    <n v="291024"/>
    <n v="1.9915883226125679"/>
    <n v="23.920557913887201"/>
    <n v="53590"/>
  </r>
  <r>
    <x v="8"/>
    <s v="Youtube"/>
    <n v="4036"/>
    <n v="591"/>
    <n v="300265"/>
    <n v="3445"/>
    <n v="296820"/>
    <n v="1.1606360757361365"/>
    <n v="44.219272975538267"/>
    <n v="12563"/>
  </r>
  <r>
    <x v="8"/>
    <s v="Twitter"/>
    <n v="6947"/>
    <n v="908"/>
    <n v="306304"/>
    <n v="6039"/>
    <n v="300265"/>
    <n v="2.0112234193129401"/>
    <n v="14.117673944839121"/>
    <n v="46060"/>
  </r>
  <r>
    <x v="9"/>
    <s v="Instagram"/>
    <n v="3494"/>
    <n v="281"/>
    <n v="309517"/>
    <n v="3213"/>
    <n v="306304"/>
    <n v="1.0489578980359382"/>
    <n v="27.765518533715429"/>
    <n v="39197"/>
  </r>
  <r>
    <x v="9"/>
    <s v="Twitter"/>
    <n v="3719"/>
    <n v="222"/>
    <n v="313014"/>
    <n v="3497"/>
    <n v="309517"/>
    <n v="1.1298248561468354"/>
    <n v="21.669318305251519"/>
    <n v="13586"/>
  </r>
  <r>
    <x v="9"/>
    <s v="Youtube"/>
    <n v="2884"/>
    <n v="341"/>
    <n v="315557"/>
    <n v="2543"/>
    <n v="313014"/>
    <n v="0.81242372545636943"/>
    <n v="46.999749649033298"/>
    <n v="26087"/>
  </r>
  <r>
    <x v="9"/>
    <s v="Linkedin"/>
    <n v="5349"/>
    <n v="502"/>
    <n v="320404"/>
    <n v="4847"/>
    <n v="315557"/>
    <n v="1.5360140957101251"/>
    <n v="5.2152906954969351"/>
    <n v="58868"/>
  </r>
  <r>
    <x v="10"/>
    <s v="Twitter"/>
    <n v="6179"/>
    <n v="384"/>
    <n v="326199"/>
    <n v="5795"/>
    <n v="320404"/>
    <n v="1.8086540742312831"/>
    <n v="14.71218489327067"/>
    <n v="33225"/>
  </r>
  <r>
    <x v="10"/>
    <s v="Instagram"/>
    <n v="7610"/>
    <n v="757"/>
    <n v="333052"/>
    <n v="6853"/>
    <n v="326199"/>
    <n v="2.1008648095181162"/>
    <n v="44.450416151231643"/>
    <n v="39750"/>
  </r>
  <r>
    <x v="10"/>
    <s v="Youtube"/>
    <n v="7430"/>
    <n v="397"/>
    <n v="340085"/>
    <n v="7033"/>
    <n v="333052"/>
    <n v="2.1116822598272944"/>
    <n v="28.065042562888689"/>
    <n v="16643"/>
  </r>
  <r>
    <x v="10"/>
    <s v="Twitter"/>
    <n v="8154"/>
    <n v="1149"/>
    <n v="347090"/>
    <n v="7005"/>
    <n v="340085"/>
    <n v="2.0597791728538453"/>
    <n v="26.003918292085629"/>
    <n v="37523"/>
  </r>
  <r>
    <x v="11"/>
    <s v="Instagram"/>
    <n v="7488"/>
    <n v="568"/>
    <n v="354010"/>
    <n v="6920"/>
    <n v="347090"/>
    <n v="1.993719208274511"/>
    <n v="13.47730290104799"/>
    <n v="46727"/>
  </r>
  <r>
    <x v="11"/>
    <s v="Youtube"/>
    <n v="5737"/>
    <n v="666"/>
    <n v="359081"/>
    <n v="5071"/>
    <n v="354010"/>
    <n v="1.4324454111465779"/>
    <n v="4.6034181702735593"/>
    <n v="21005"/>
  </r>
  <r>
    <x v="11"/>
    <s v="Instagram"/>
    <n v="7525"/>
    <n v="610"/>
    <n v="365996"/>
    <n v="6915"/>
    <n v="359081"/>
    <n v="1.9257493434628954"/>
    <n v="5.7694619613329108"/>
    <n v="53543"/>
  </r>
  <r>
    <x v="11"/>
    <s v="Youtube"/>
    <n v="4850"/>
    <n v="494"/>
    <n v="370352"/>
    <n v="4356"/>
    <n v="365996"/>
    <n v="1.1901769418245007"/>
    <n v="20.46539508359615"/>
    <n v="10161"/>
  </r>
  <r>
    <x v="12"/>
    <s v="Linkedin"/>
    <n v="1689"/>
    <n v="176"/>
    <n v="371865"/>
    <n v="1513"/>
    <n v="370352"/>
    <n v="0.40853026310104978"/>
    <n v="38.012181840183942"/>
    <n v="26029"/>
  </r>
  <r>
    <x v="12"/>
    <s v="Twitter"/>
    <n v="6175"/>
    <n v="422"/>
    <n v="377618"/>
    <n v="5753"/>
    <n v="371865"/>
    <n v="1.5470668118806556"/>
    <n v="37.86101298137271"/>
    <n v="59745"/>
  </r>
  <r>
    <x v="12"/>
    <s v="Instagram"/>
    <n v="9648"/>
    <n v="1417"/>
    <n v="385849"/>
    <n v="8231"/>
    <n v="377618"/>
    <n v="2.179716009300404"/>
    <n v="3.6633501706626168"/>
    <n v="24226"/>
  </r>
  <r>
    <x v="12"/>
    <s v="Youtube"/>
    <n v="6078"/>
    <n v="775"/>
    <n v="391152"/>
    <n v="5303"/>
    <n v="385849"/>
    <n v="1.3743718397611502"/>
    <n v="37.760512537325639"/>
    <n v="38731"/>
  </r>
  <r>
    <x v="13"/>
    <s v="Instagram"/>
    <n v="6448"/>
    <n v="928"/>
    <n v="396672"/>
    <n v="5520"/>
    <n v="391152"/>
    <n v="1.4112161001349859"/>
    <n v="30.118586640851881"/>
    <n v="53922"/>
  </r>
  <r>
    <x v="13"/>
    <s v="Instagram"/>
    <n v="2179"/>
    <n v="303"/>
    <n v="398548"/>
    <n v="1876"/>
    <n v="396672"/>
    <n v="0.47293481768312357"/>
    <n v="33.909842729106657"/>
    <n v="54848"/>
  </r>
  <r>
    <x v="13"/>
    <s v="Twitter"/>
    <n v="7406"/>
    <n v="813"/>
    <n v="405141"/>
    <n v="6593"/>
    <n v="398548"/>
    <n v="1.6542549454519908"/>
    <n v="24.457411123534769"/>
    <n v="13390"/>
  </r>
  <r>
    <x v="13"/>
    <s v="Linkedin"/>
    <n v="9591"/>
    <n v="1363"/>
    <n v="413369"/>
    <n v="8228"/>
    <n v="405141"/>
    <n v="2.030897884933887"/>
    <n v="10.494255737609739"/>
    <n v="15997"/>
  </r>
  <r>
    <x v="14"/>
    <s v="Instagram"/>
    <n v="7907"/>
    <n v="465"/>
    <n v="420811"/>
    <n v="7442"/>
    <n v="413369"/>
    <n v="1.8003285200389967"/>
    <n v="33.257448118038738"/>
    <n v="22693"/>
  </r>
  <r>
    <x v="14"/>
    <s v="Youtube"/>
    <n v="9800"/>
    <n v="682"/>
    <n v="429929"/>
    <n v="9118"/>
    <n v="420811"/>
    <n v="2.1667684542466805"/>
    <n v="6.2966210699906267"/>
    <n v="59815"/>
  </r>
  <r>
    <x v="14"/>
    <s v="Youtube"/>
    <n v="2638"/>
    <n v="143"/>
    <n v="432424"/>
    <n v="2495"/>
    <n v="429929"/>
    <n v="0.58032837980224639"/>
    <n v="6.9547481175882924"/>
    <n v="52092"/>
  </r>
  <r>
    <x v="14"/>
    <s v="Linkedin"/>
    <n v="6671"/>
    <n v="550"/>
    <n v="438545"/>
    <n v="6121"/>
    <n v="432424"/>
    <n v="1.4155088524226223"/>
    <n v="17.750287883797562"/>
    <n v="10541"/>
  </r>
  <r>
    <x v="15"/>
    <s v="Youtube"/>
    <n v="7928"/>
    <n v="704"/>
    <n v="445769"/>
    <n v="7224"/>
    <n v="438545"/>
    <n v="1.6472653889566635"/>
    <n v="11.194362999670229"/>
    <n v="31817"/>
  </r>
  <r>
    <x v="15"/>
    <s v="Linkedin"/>
    <n v="2382"/>
    <n v="183"/>
    <n v="447968"/>
    <n v="2199"/>
    <n v="445769"/>
    <n v="0.49330482828550215"/>
    <n v="4.7335970426459033"/>
    <n v="47861"/>
  </r>
  <r>
    <x v="15"/>
    <s v="Youtube"/>
    <n v="2403"/>
    <n v="319"/>
    <n v="450052"/>
    <n v="2084"/>
    <n v="447968"/>
    <n v="0.46521180084291736"/>
    <n v="29.92120910472568"/>
    <n v="23428"/>
  </r>
  <r>
    <x v="15"/>
    <s v="Twitter"/>
    <n v="4292"/>
    <n v="367"/>
    <n v="453977"/>
    <n v="3925"/>
    <n v="450052"/>
    <n v="0.87212144374427847"/>
    <n v="3.5037017293827661"/>
    <n v="53934"/>
  </r>
  <r>
    <x v="16"/>
    <s v="Instagram"/>
    <n v="1419"/>
    <n v="110"/>
    <n v="455286"/>
    <n v="1309"/>
    <n v="453977"/>
    <n v="0.28834059875280027"/>
    <n v="31.554451487636339"/>
    <n v="58831"/>
  </r>
  <r>
    <x v="16"/>
    <s v="Twitter"/>
    <n v="5517"/>
    <n v="575"/>
    <n v="460228"/>
    <n v="4942"/>
    <n v="455286"/>
    <n v="1.0854715497511456"/>
    <n v="29.45844233727631"/>
    <n v="20258"/>
  </r>
  <r>
    <x v="16"/>
    <s v="Instagram"/>
    <n v="4302"/>
    <n v="275"/>
    <n v="464255"/>
    <n v="4027"/>
    <n v="460228"/>
    <n v="0.87500108641803631"/>
    <n v="15.72131694865968"/>
    <n v="26044"/>
  </r>
  <r>
    <x v="16"/>
    <s v="Instagram"/>
    <n v="8857"/>
    <n v="1153"/>
    <n v="471959"/>
    <n v="7704"/>
    <n v="464255"/>
    <n v="1.6594328547888553"/>
    <n v="19.214592793018038"/>
    <n v="39411"/>
  </r>
  <r>
    <x v="17"/>
    <s v="Instagram"/>
    <n v="8870"/>
    <n v="509"/>
    <n v="480320"/>
    <n v="8361"/>
    <n v="471959"/>
    <n v="1.7715521899148019"/>
    <n v="25.077864756828781"/>
    <n v="15469"/>
  </r>
  <r>
    <x v="17"/>
    <s v="Twitter"/>
    <n v="6693"/>
    <n v="995"/>
    <n v="486018"/>
    <n v="5698"/>
    <n v="480320"/>
    <n v="1.186292471685543"/>
    <n v="23.761877132122681"/>
    <n v="38854"/>
  </r>
  <r>
    <x v="17"/>
    <s v="Instagram"/>
    <n v="1767"/>
    <n v="224"/>
    <n v="487561"/>
    <n v="1543"/>
    <n v="486018"/>
    <n v="0.31747795349143448"/>
    <n v="13.208603641390511"/>
    <n v="16256"/>
  </r>
  <r>
    <x v="17"/>
    <s v="Twitter"/>
    <n v="3044"/>
    <n v="212"/>
    <n v="490393"/>
    <n v="2832"/>
    <n v="487561"/>
    <n v="0.580850396155558"/>
    <n v="8.5343795690395261"/>
    <n v="20720"/>
  </r>
  <r>
    <x v="18"/>
    <s v="Linkedin"/>
    <n v="2549"/>
    <n v="128"/>
    <n v="492814"/>
    <n v="2421"/>
    <n v="490393"/>
    <n v="0.49368567659000029"/>
    <n v="12.734216154573531"/>
    <n v="43937"/>
  </r>
  <r>
    <x v="18"/>
    <s v="Youtube"/>
    <n v="7140"/>
    <n v="939"/>
    <n v="499015"/>
    <n v="6201"/>
    <n v="492814"/>
    <n v="1.2582840584885981"/>
    <n v="25.120888149654821"/>
    <n v="43598"/>
  </r>
  <r>
    <x v="18"/>
    <s v="Youtube"/>
    <n v="4716"/>
    <n v="569"/>
    <n v="503162"/>
    <n v="4147"/>
    <n v="499015"/>
    <n v="0.83103714317204891"/>
    <n v="25.64820077827817"/>
    <n v="11651"/>
  </r>
  <r>
    <x v="18"/>
    <s v="Instagram"/>
    <n v="5481"/>
    <n v="673"/>
    <n v="507970"/>
    <n v="4808"/>
    <n v="503162"/>
    <n v="0.95555705717045403"/>
    <n v="13.08758391243577"/>
    <n v="29194"/>
  </r>
  <r>
    <x v="19"/>
    <s v="Twitter"/>
    <n v="8898"/>
    <n v="1131"/>
    <n v="515737"/>
    <n v="7767"/>
    <n v="507970"/>
    <n v="1.5290273047620924"/>
    <n v="2.1877429775253669"/>
    <n v="35051"/>
  </r>
  <r>
    <x v="19"/>
    <s v="Youtube"/>
    <n v="7548"/>
    <n v="433"/>
    <n v="522852"/>
    <n v="7115"/>
    <n v="515737"/>
    <n v="1.3795791265703257"/>
    <n v="8.3562843787534522"/>
    <n v="37386"/>
  </r>
  <r>
    <x v="19"/>
    <s v="Twitter"/>
    <n v="3293"/>
    <n v="282"/>
    <n v="525863"/>
    <n v="3011"/>
    <n v="522852"/>
    <n v="0.57587998133314966"/>
    <n v="27.040693108281051"/>
    <n v="19518"/>
  </r>
  <r>
    <x v="19"/>
    <s v="Twitter"/>
    <n v="5837"/>
    <n v="359"/>
    <n v="531341"/>
    <n v="5478"/>
    <n v="525863"/>
    <n v="1.0417161884369122"/>
    <n v="6.8073045370110723"/>
    <n v="56026"/>
  </r>
  <r>
    <x v="20"/>
    <s v="Instagram"/>
    <n v="8758"/>
    <n v="1193"/>
    <n v="538906"/>
    <n v="7565"/>
    <n v="531341"/>
    <n v="1.4237561189518597"/>
    <n v="3.4213758985797149"/>
    <n v="26184"/>
  </r>
  <r>
    <x v="20"/>
    <s v="Youtube"/>
    <n v="7793"/>
    <n v="875"/>
    <n v="545824"/>
    <n v="6918"/>
    <n v="538906"/>
    <n v="1.2837118161608889"/>
    <n v="5.5136820660139527"/>
    <n v="43787"/>
  </r>
  <r>
    <x v="20"/>
    <s v="Instagram"/>
    <n v="8638"/>
    <n v="717"/>
    <n v="553745"/>
    <n v="7921"/>
    <n v="545824"/>
    <n v="1.451200386937914"/>
    <n v="26.921416897669499"/>
    <n v="31621"/>
  </r>
  <r>
    <x v="20"/>
    <s v="Instagram"/>
    <n v="8993"/>
    <n v="506"/>
    <n v="562232"/>
    <n v="8487"/>
    <n v="553745"/>
    <n v="1.5326549223920758"/>
    <n v="3.5131404829323132"/>
    <n v="20028"/>
  </r>
  <r>
    <x v="21"/>
    <s v="Youtube"/>
    <n v="7007"/>
    <n v="568"/>
    <n v="568671"/>
    <n v="6439"/>
    <n v="562232"/>
    <n v="1.145256762332987"/>
    <n v="11.50507059442103"/>
    <n v="22448"/>
  </r>
  <r>
    <x v="21"/>
    <s v="Youtube"/>
    <n v="6542"/>
    <n v="539"/>
    <n v="574674"/>
    <n v="6003"/>
    <n v="568671"/>
    <n v="1.0556191541330575"/>
    <n v="6.4069368024305948"/>
    <n v="55253"/>
  </r>
  <r>
    <x v="21"/>
    <s v="Linkedin"/>
    <n v="7356"/>
    <n v="904"/>
    <n v="581126"/>
    <n v="6452"/>
    <n v="574674"/>
    <n v="1.1227234919275972"/>
    <n v="17.560907617280929"/>
    <n v="44051"/>
  </r>
  <r>
    <x v="21"/>
    <s v="Linkedin"/>
    <n v="9433"/>
    <n v="1073"/>
    <n v="589486"/>
    <n v="8360"/>
    <n v="581126"/>
    <n v="1.4385864683390521"/>
    <n v="7.2934726185185053"/>
    <n v="59811"/>
  </r>
  <r>
    <x v="22"/>
    <s v="Twitter"/>
    <n v="8380"/>
    <n v="1162"/>
    <n v="596704"/>
    <n v="7218"/>
    <n v="589486"/>
    <n v="1.2244565604611475"/>
    <n v="18.05853488496809"/>
    <n v="40447"/>
  </r>
  <r>
    <x v="22"/>
    <s v="Youtube"/>
    <n v="3385"/>
    <n v="329"/>
    <n v="599760"/>
    <n v="3056"/>
    <n v="596704"/>
    <n v="0.51214672601490852"/>
    <n v="17.61788048552755"/>
    <n v="28394"/>
  </r>
  <r>
    <x v="22"/>
    <s v="Linkedin"/>
    <n v="5268"/>
    <n v="326"/>
    <n v="604702"/>
    <n v="4942"/>
    <n v="599760"/>
    <n v="0.82399626517273583"/>
    <n v="23.435841125050029"/>
    <n v="44501"/>
  </r>
  <r>
    <x v="22"/>
    <s v="Twitter"/>
    <n v="1671"/>
    <n v="202"/>
    <n v="606171"/>
    <n v="1469"/>
    <n v="604702"/>
    <n v="0.24292957522879041"/>
    <n v="15.150015424690389"/>
    <n v="40254"/>
  </r>
  <r>
    <x v="23"/>
    <s v="Twitter"/>
    <n v="1163"/>
    <n v="146"/>
    <n v="607188"/>
    <n v="1017"/>
    <n v="606171"/>
    <n v="0.16777443988577481"/>
    <n v="21.77776899411715"/>
    <n v="28509"/>
  </r>
  <r>
    <x v="23"/>
    <s v="Twitter"/>
    <n v="9656"/>
    <n v="1024"/>
    <n v="615820"/>
    <n v="8632"/>
    <n v="607188"/>
    <n v="1.4216354736918384"/>
    <n v="8.7252768666168681"/>
    <n v="58998"/>
  </r>
  <r>
    <x v="23"/>
    <s v="Linkedin"/>
    <n v="5592"/>
    <n v="710"/>
    <n v="620702"/>
    <n v="4882"/>
    <n v="615820"/>
    <n v="0.79276411938553482"/>
    <n v="9.07118069540617"/>
    <n v="24472"/>
  </r>
  <r>
    <x v="23"/>
    <s v="Youtube"/>
    <n v="5795"/>
    <n v="575"/>
    <n v="625922"/>
    <n v="5220"/>
    <n v="620702"/>
    <n v="0.84098327377711035"/>
    <n v="3.0908004511744269"/>
    <n v="55657"/>
  </r>
  <r>
    <x v="24"/>
    <s v="Instagram"/>
    <n v="5798"/>
    <n v="592"/>
    <n v="631128"/>
    <n v="5206"/>
    <n v="625922"/>
    <n v="0.83173302743792354"/>
    <n v="1.6774727155188811"/>
    <n v="13471"/>
  </r>
  <r>
    <x v="24"/>
    <s v="Twitter"/>
    <n v="7036"/>
    <n v="652"/>
    <n v="637512"/>
    <n v="6384"/>
    <n v="631128"/>
    <n v="1.0115222268699853"/>
    <n v="3.5705994553828009"/>
    <n v="51796"/>
  </r>
  <r>
    <x v="24"/>
    <s v="Linkedin"/>
    <n v="3355"/>
    <n v="176"/>
    <n v="640691"/>
    <n v="3179"/>
    <n v="637512"/>
    <n v="0.49865728017668687"/>
    <n v="12.426427091999111"/>
    <n v="40268"/>
  </r>
  <r>
    <x v="24"/>
    <s v="Linkedin"/>
    <n v="6887"/>
    <n v="418"/>
    <n v="647160"/>
    <n v="6469"/>
    <n v="640691"/>
    <n v="1.0096910991413959"/>
    <n v="20.240280610668151"/>
    <n v="18329"/>
  </r>
  <r>
    <x v="25"/>
    <s v="Instagram"/>
    <n v="8961"/>
    <n v="476"/>
    <n v="655645"/>
    <n v="8485"/>
    <n v="647160"/>
    <n v="1.3111131713950182"/>
    <n v="15.458517947974901"/>
    <n v="44865"/>
  </r>
  <r>
    <x v="25"/>
    <s v="Instagram"/>
    <n v="6827"/>
    <n v="775"/>
    <n v="661697"/>
    <n v="6052"/>
    <n v="655645"/>
    <n v="0.92306049767785914"/>
    <n v="15.96622018839439"/>
    <n v="56850"/>
  </r>
  <r>
    <x v="25"/>
    <s v="Linkedin"/>
    <n v="9737"/>
    <n v="792"/>
    <n v="670642"/>
    <n v="8945"/>
    <n v="661697"/>
    <n v="1.3518271958313246"/>
    <n v="5.301785453341723"/>
    <n v="56698"/>
  </r>
  <r>
    <x v="25"/>
    <s v="Youtube"/>
    <n v="5719"/>
    <n v="576"/>
    <n v="675785"/>
    <n v="5143"/>
    <n v="670642"/>
    <n v="0.76687711178244133"/>
    <n v="10.21656296011305"/>
    <n v="38272"/>
  </r>
  <r>
    <x v="26"/>
    <s v="Instagram"/>
    <n v="1593"/>
    <n v="224"/>
    <n v="677154"/>
    <n v="1369"/>
    <n v="675785"/>
    <n v="0.20257922268177006"/>
    <n v="4.1495730660972248"/>
    <n v="52845"/>
  </r>
  <r>
    <x v="26"/>
    <s v="Linkedin"/>
    <n v="5839"/>
    <n v="437"/>
    <n v="682556"/>
    <n v="5402"/>
    <n v="677154"/>
    <n v="0.79775058553888767"/>
    <n v="17.44750613869045"/>
    <n v="16397"/>
  </r>
  <r>
    <x v="26"/>
    <s v="Instagram"/>
    <n v="8394"/>
    <n v="764"/>
    <n v="690186"/>
    <n v="7630"/>
    <n v="682556"/>
    <n v="1.1178569963490177"/>
    <n v="6.3556780346167558"/>
    <n v="42373"/>
  </r>
  <r>
    <x v="26"/>
    <s v="Youtube"/>
    <n v="4493"/>
    <n v="564"/>
    <n v="694115"/>
    <n v="3929"/>
    <n v="690186"/>
    <n v="0.56926683531685662"/>
    <n v="16.625487131094989"/>
    <n v="45525"/>
  </r>
  <r>
    <x v="27"/>
    <s v="Twitter"/>
    <n v="7164"/>
    <n v="522"/>
    <n v="700757"/>
    <n v="6642"/>
    <n v="694115"/>
    <n v="0.95690195428711389"/>
    <n v="13.449169969047761"/>
    <n v="34570"/>
  </r>
  <r>
    <x v="27"/>
    <s v="Instagram"/>
    <n v="3672"/>
    <n v="211"/>
    <n v="704218"/>
    <n v="3461"/>
    <n v="700757"/>
    <n v="0.49389445984842106"/>
    <n v="12.35057894004413"/>
    <n v="28284"/>
  </r>
  <r>
    <x v="27"/>
    <s v="Youtube"/>
    <n v="5200"/>
    <n v="410"/>
    <n v="709008"/>
    <n v="4790"/>
    <n v="704218"/>
    <n v="0.68018710115333603"/>
    <n v="12.913394489201821"/>
    <n v="28994"/>
  </r>
  <r>
    <x v="27"/>
    <s v="Linkedin"/>
    <n v="1016"/>
    <n v="67"/>
    <n v="709957"/>
    <n v="949"/>
    <n v="709008"/>
    <n v="0.13384898336831177"/>
    <n v="20.774215903216671"/>
    <n v="33284"/>
  </r>
  <r>
    <x v="28"/>
    <s v="Instagram"/>
    <n v="4191"/>
    <n v="599"/>
    <n v="713549"/>
    <n v="3592"/>
    <n v="709957"/>
    <n v="0.50594613476590833"/>
    <n v="11.56416728213479"/>
    <n v="27833"/>
  </r>
  <r>
    <x v="28"/>
    <s v="Instagram"/>
    <n v="1392"/>
    <n v="182"/>
    <n v="714759"/>
    <n v="1210"/>
    <n v="713549"/>
    <n v="0.16957489955139732"/>
    <n v="5.9603306848881932"/>
    <n v="35122"/>
  </r>
  <r>
    <x v="28"/>
    <s v="Linkedin"/>
    <n v="9616"/>
    <n v="1089"/>
    <n v="723286"/>
    <n v="8527"/>
    <n v="714759"/>
    <n v="1.1929895251406417"/>
    <n v="19.25863351426683"/>
    <n v="15017"/>
  </r>
  <r>
    <x v="28"/>
    <s v="Twitter"/>
    <n v="7272"/>
    <n v="997"/>
    <n v="729561"/>
    <n v="6275"/>
    <n v="723286"/>
    <n v="0.86756829248734246"/>
    <n v="13.428486445958599"/>
    <n v="26370"/>
  </r>
  <r>
    <x v="29"/>
    <s v="Linkedin"/>
    <n v="1571"/>
    <n v="204"/>
    <n v="730928"/>
    <n v="1367"/>
    <n v="729561"/>
    <n v="0.18737295442053509"/>
    <n v="19.449384891535139"/>
    <n v="39252"/>
  </r>
  <r>
    <x v="29"/>
    <s v="Instagram"/>
    <n v="4631"/>
    <n v="317"/>
    <n v="735242"/>
    <n v="4314"/>
    <n v="730928"/>
    <n v="0.59020861151850801"/>
    <n v="1.381177897889402"/>
    <n v="17999"/>
  </r>
  <r>
    <x v="29"/>
    <s v="Linkedin"/>
    <n v="7172"/>
    <n v="998"/>
    <n v="741416"/>
    <n v="6174"/>
    <n v="735242"/>
    <n v="0.83972351960306946"/>
    <n v="18.0667803230575"/>
    <n v="32436"/>
  </r>
  <r>
    <x v="29"/>
    <s v="Youtube"/>
    <n v="8177"/>
    <n v="849"/>
    <n v="748744"/>
    <n v="7328"/>
    <n v="741416"/>
    <n v="0.98837899370933457"/>
    <n v="10.34986590877523"/>
    <n v="52963"/>
  </r>
  <r>
    <x v="30"/>
    <s v="Linkedin"/>
    <n v="9433"/>
    <n v="1233"/>
    <n v="756944"/>
    <n v="8200"/>
    <n v="748744"/>
    <n v="1.0951673736283696"/>
    <n v="11.391727789638329"/>
    <n v="12096"/>
  </r>
  <r>
    <x v="30"/>
    <s v="Instagram"/>
    <n v="4897"/>
    <n v="683"/>
    <n v="761158"/>
    <n v="4214"/>
    <n v="756944"/>
    <n v="0.55671225348242404"/>
    <n v="15.06231294947961"/>
    <n v="58201"/>
  </r>
  <r>
    <x v="30"/>
    <s v="Linkedin"/>
    <n v="9123"/>
    <n v="746"/>
    <n v="769535"/>
    <n v="8377"/>
    <n v="761158"/>
    <n v="1.1005599363075733"/>
    <n v="6.3086149427901264"/>
    <n v="35279"/>
  </r>
  <r>
    <x v="30"/>
    <s v="Twitter"/>
    <n v="3279"/>
    <n v="200"/>
    <n v="772614"/>
    <n v="3079"/>
    <n v="769535"/>
    <n v="0.40011175580058084"/>
    <n v="5.0212654702089274"/>
    <n v="53363"/>
  </r>
  <r>
    <x v="31"/>
    <s v="Linkedin"/>
    <n v="9980"/>
    <n v="726"/>
    <n v="781868"/>
    <n v="9254"/>
    <n v="772614"/>
    <n v="1.1977520469471172"/>
    <n v="4.0220344099003924"/>
    <n v="58709"/>
  </r>
  <r>
    <x v="31"/>
    <s v="Twitter"/>
    <n v="8451"/>
    <n v="783"/>
    <n v="789536"/>
    <n v="7668"/>
    <n v="781868"/>
    <n v="0.98072820476090594"/>
    <n v="12.407287318121019"/>
    <n v="36201"/>
  </r>
  <r>
    <x v="31"/>
    <s v="Youtube"/>
    <n v="9906"/>
    <n v="1305"/>
    <n v="798137"/>
    <n v="8601"/>
    <n v="789536"/>
    <n v="1.08937401207798"/>
    <n v="9.1811305577864442"/>
    <n v="29715"/>
  </r>
  <r>
    <x v="31"/>
    <s v="Twitter"/>
    <n v="1775"/>
    <n v="241"/>
    <n v="799671"/>
    <n v="1534"/>
    <n v="798137"/>
    <n v="0.1921975801146921"/>
    <n v="8.1379717408784362"/>
    <n v="39309"/>
  </r>
  <r>
    <x v="32"/>
    <s v="Linkedin"/>
    <n v="7869"/>
    <n v="398"/>
    <n v="807142"/>
    <n v="7471"/>
    <n v="799671"/>
    <n v="0.93425921410179946"/>
    <n v="15.211945357818079"/>
    <n v="25078"/>
  </r>
  <r>
    <x v="32"/>
    <s v="Instagram"/>
    <n v="3247"/>
    <n v="328"/>
    <n v="810061"/>
    <n v="2919"/>
    <n v="807142"/>
    <n v="0.36164640174839124"/>
    <n v="13.941172331466399"/>
    <n v="15105"/>
  </r>
  <r>
    <x v="32"/>
    <s v="Twitter"/>
    <n v="8088"/>
    <n v="742"/>
    <n v="817407"/>
    <n v="7346"/>
    <n v="810061"/>
    <n v="0.90684528695987088"/>
    <n v="14.664542877660701"/>
    <n v="39312"/>
  </r>
  <r>
    <x v="32"/>
    <s v="Youtube"/>
    <n v="1078"/>
    <n v="77"/>
    <n v="818408"/>
    <n v="1001"/>
    <n v="817407"/>
    <n v="0.12246041445693515"/>
    <n v="18.236747441373989"/>
    <n v="12839"/>
  </r>
  <r>
    <x v="33"/>
    <s v="Twitter"/>
    <n v="9080"/>
    <n v="562"/>
    <n v="826926"/>
    <n v="8518"/>
    <n v="818408"/>
    <n v="1.040801165189001"/>
    <n v="7.1083748727213809"/>
    <n v="13384"/>
  </r>
  <r>
    <x v="33"/>
    <s v="Twitter"/>
    <n v="8099"/>
    <n v="678"/>
    <n v="834347"/>
    <n v="7421"/>
    <n v="826926"/>
    <n v="0.89742008353830938"/>
    <n v="7.6464588474579518"/>
    <n v="53619"/>
  </r>
  <r>
    <x v="33"/>
    <s v="Twitter"/>
    <n v="4926"/>
    <n v="710"/>
    <n v="838563"/>
    <n v="4216"/>
    <n v="834347"/>
    <n v="0.50530534657642445"/>
    <n v="12.96217457722318"/>
    <n v="52821"/>
  </r>
  <r>
    <x v="33"/>
    <s v="Youtube"/>
    <n v="8340"/>
    <n v="686"/>
    <n v="846217"/>
    <n v="7654"/>
    <n v="838563"/>
    <n v="0.91275193396322052"/>
    <n v="7.201344336027284"/>
    <n v="23493"/>
  </r>
  <r>
    <x v="34"/>
    <s v="Linkedin"/>
    <n v="8083"/>
    <n v="823"/>
    <n v="853477"/>
    <n v="7260"/>
    <n v="846217"/>
    <n v="0.8579359667792068"/>
    <n v="4.6300017457998282"/>
    <n v="27069"/>
  </r>
  <r>
    <x v="34"/>
    <s v="Twitter"/>
    <n v="7230"/>
    <n v="869"/>
    <n v="859838"/>
    <n v="6361"/>
    <n v="853477"/>
    <n v="0.74530420854926382"/>
    <n v="7.0117859410726204"/>
    <n v="56907"/>
  </r>
  <r>
    <x v="34"/>
    <s v="Twitter"/>
    <n v="5940"/>
    <n v="512"/>
    <n v="865266"/>
    <n v="5428"/>
    <n v="859838"/>
    <n v="0.63128170655402527"/>
    <n v="15.7972230504839"/>
    <n v="17531"/>
  </r>
  <r>
    <x v="34"/>
    <s v="Instagram"/>
    <n v="4271"/>
    <n v="628"/>
    <n v="868909"/>
    <n v="3643"/>
    <n v="865266"/>
    <n v="0.42102659760120009"/>
    <n v="11.124410036033691"/>
    <n v="47051"/>
  </r>
  <r>
    <x v="35"/>
    <s v="Youtube"/>
    <n v="4456"/>
    <n v="651"/>
    <n v="872714"/>
    <n v="3805"/>
    <n v="868909"/>
    <n v="0.43790546535943353"/>
    <n v="9.5052903929580594"/>
    <n v="17736"/>
  </r>
  <r>
    <x v="35"/>
    <s v="Twitter"/>
    <n v="8788"/>
    <n v="660"/>
    <n v="880842"/>
    <n v="8128"/>
    <n v="872714"/>
    <n v="0.93134749757652568"/>
    <n v="3.7175793161543158"/>
    <n v="17710"/>
  </r>
  <r>
    <x v="35"/>
    <s v="Youtube"/>
    <n v="9599"/>
    <n v="957"/>
    <n v="889484"/>
    <n v="8642"/>
    <n v="880842"/>
    <n v="0.98110671380338355"/>
    <n v="8.768004820772493"/>
    <n v="11619"/>
  </r>
  <r>
    <x v="35"/>
    <s v="Twitter"/>
    <n v="8650"/>
    <n v="692"/>
    <n v="897442"/>
    <n v="7958"/>
    <n v="889484"/>
    <n v="0.89467601440835365"/>
    <n v="7.6673478620345374"/>
    <n v="23975"/>
  </r>
  <r>
    <x v="36"/>
    <s v="Linkedin"/>
    <n v="3711"/>
    <n v="291"/>
    <n v="900862"/>
    <n v="3420"/>
    <n v="897442"/>
    <n v="0.38108312292047841"/>
    <n v="14.24879726306582"/>
    <n v="55603"/>
  </r>
  <r>
    <x v="36"/>
    <s v="Linkedin"/>
    <n v="2668"/>
    <n v="143"/>
    <n v="903387"/>
    <n v="2525"/>
    <n v="900862"/>
    <n v="0.28028710279709879"/>
    <n v="15.903372530266649"/>
    <n v="33252"/>
  </r>
  <r>
    <x v="36"/>
    <s v="Twitter"/>
    <n v="1147"/>
    <n v="127"/>
    <n v="904407"/>
    <n v="1020"/>
    <n v="903387"/>
    <n v="0.11290842130781159"/>
    <n v="1.3997016829812241"/>
    <n v="25261"/>
  </r>
  <r>
    <x v="36"/>
    <s v="Linkedin"/>
    <n v="7420"/>
    <n v="743"/>
    <n v="911084"/>
    <n v="6677"/>
    <n v="904407"/>
    <n v="0.73827380814168841"/>
    <n v="10.593534734448189"/>
    <n v="11431"/>
  </r>
  <r>
    <x v="37"/>
    <s v="Twitter"/>
    <n v="1365"/>
    <n v="75"/>
    <n v="912374"/>
    <n v="1290"/>
    <n v="911084"/>
    <n v="0.14158957900698507"/>
    <n v="9.2688963078737441"/>
    <n v="19067"/>
  </r>
  <r>
    <x v="37"/>
    <s v="Linkedin"/>
    <n v="5531"/>
    <n v="430"/>
    <n v="917475"/>
    <n v="5101"/>
    <n v="912374"/>
    <n v="0.55909089912689314"/>
    <n v="2.7289026948963189"/>
    <n v="47481"/>
  </r>
  <r>
    <x v="37"/>
    <s v="Instagram"/>
    <n v="6330"/>
    <n v="891"/>
    <n v="922914"/>
    <n v="5439"/>
    <n v="917475"/>
    <n v="0.59282269271642285"/>
    <n v="14.789893749580139"/>
    <n v="37037"/>
  </r>
  <r>
    <x v="37"/>
    <s v="Instagram"/>
    <n v="6510"/>
    <n v="481"/>
    <n v="928943"/>
    <n v="6029"/>
    <n v="922914"/>
    <n v="0.65325696652125775"/>
    <n v="2.3800168578696428"/>
    <n v="19557"/>
  </r>
  <r>
    <x v="38"/>
    <s v="Instagram"/>
    <n v="9754"/>
    <n v="629"/>
    <n v="938068"/>
    <n v="9125"/>
    <n v="928943"/>
    <n v="0.9822992368745983"/>
    <n v="3.4123325814333292"/>
    <n v="19435"/>
  </r>
  <r>
    <x v="38"/>
    <s v="Youtube"/>
    <n v="9964"/>
    <n v="985"/>
    <n v="947047"/>
    <n v="8979"/>
    <n v="938068"/>
    <n v="0.95718007649765269"/>
    <n v="1.9837452629066989"/>
    <n v="47766"/>
  </r>
  <r>
    <x v="38"/>
    <s v="Youtube"/>
    <n v="7493"/>
    <n v="1113"/>
    <n v="953427"/>
    <n v="6380"/>
    <n v="947047"/>
    <n v="0.67367300672511499"/>
    <n v="15.684892498324469"/>
    <n v="10162"/>
  </r>
  <r>
    <x v="38"/>
    <s v="Instagram"/>
    <n v="6439"/>
    <n v="477"/>
    <n v="959389"/>
    <n v="5962"/>
    <n v="953427"/>
    <n v="0.62532317628932266"/>
    <n v="7.4744446725989153"/>
    <n v="44742"/>
  </r>
  <r>
    <x v="39"/>
    <s v="Youtube"/>
    <n v="7511"/>
    <n v="880"/>
    <n v="966020"/>
    <n v="6631"/>
    <n v="959389"/>
    <n v="0.69116906697908775"/>
    <n v="4.6083932009689246"/>
    <n v="29675"/>
  </r>
  <r>
    <x v="39"/>
    <s v="Linkedin"/>
    <n v="8504"/>
    <n v="1072"/>
    <n v="973452"/>
    <n v="7432"/>
    <n v="966020"/>
    <n v="0.76934224964286457"/>
    <n v="6.5651927367759271"/>
    <n v="18461"/>
  </r>
  <r>
    <x v="39"/>
    <s v="Twitter"/>
    <n v="2246"/>
    <n v="165"/>
    <n v="975533"/>
    <n v="2081"/>
    <n v="973452"/>
    <n v="0.21377530684615165"/>
    <n v="2.9062061457685191"/>
    <n v="27015"/>
  </r>
  <r>
    <x v="39"/>
    <s v="Twitter"/>
    <n v="4839"/>
    <n v="594"/>
    <n v="979778"/>
    <n v="4245"/>
    <n v="975533"/>
    <n v="0.43514673516938951"/>
    <n v="2.5803804535313102"/>
    <n v="42591"/>
  </r>
  <r>
    <x v="40"/>
    <s v="Twitter"/>
    <n v="9551"/>
    <n v="828"/>
    <n v="988501"/>
    <n v="8723"/>
    <n v="979778"/>
    <n v="0.89030372186352424"/>
    <n v="1.525036393488727"/>
    <n v="38047"/>
  </r>
  <r>
    <x v="40"/>
    <s v="Instagram"/>
    <n v="3376"/>
    <n v="382"/>
    <n v="991495"/>
    <n v="2994"/>
    <n v="988501"/>
    <n v="0.30288284989089542"/>
    <n v="3.8694093263203548"/>
    <n v="44782"/>
  </r>
  <r>
    <x v="40"/>
    <s v="Youtube"/>
    <n v="4009"/>
    <n v="454"/>
    <n v="995050"/>
    <n v="3555"/>
    <n v="991495"/>
    <n v="0.35854946318438319"/>
    <n v="2.1106477061454201"/>
    <n v="19833"/>
  </r>
  <r>
    <x v="40"/>
    <s v="Linkedin"/>
    <n v="2827"/>
    <n v="292"/>
    <n v="997585"/>
    <n v="2535"/>
    <n v="995050"/>
    <n v="0.25476106728305109"/>
    <n v="2.4004972007397871"/>
    <n v="17896"/>
  </r>
  <r>
    <x v="41"/>
    <s v="Linkedin"/>
    <n v="7979"/>
    <n v="470"/>
    <n v="1005094"/>
    <n v="7509"/>
    <n v="997585"/>
    <n v="0.75271781351964995"/>
    <n v="10.43086517280971"/>
    <n v="42972"/>
  </r>
  <r>
    <x v="41"/>
    <s v="Instagram"/>
    <n v="9569"/>
    <n v="1277"/>
    <n v="1013386"/>
    <n v="8292"/>
    <n v="1005094"/>
    <n v="0.82499746292386578"/>
    <n v="12.45517502708741"/>
    <n v="59733"/>
  </r>
  <r>
    <x v="41"/>
    <s v="Linkedin"/>
    <n v="5285"/>
    <n v="433"/>
    <n v="1018238"/>
    <n v="4852"/>
    <n v="1013386"/>
    <n v="0.47879090494638765"/>
    <n v="8.7022876773406619"/>
    <n v="51800"/>
  </r>
  <r>
    <x v="41"/>
    <s v="Linkedin"/>
    <n v="7910"/>
    <n v="543"/>
    <n v="1025605"/>
    <n v="7367"/>
    <n v="1018238"/>
    <n v="0.72350472090022178"/>
    <n v="6.0590578244060822"/>
    <n v="40508"/>
  </r>
  <r>
    <x v="42"/>
    <s v="Linkedin"/>
    <n v="9561"/>
    <n v="517"/>
    <n v="1034649"/>
    <n v="9044"/>
    <n v="1025605"/>
    <n v="0.88182097396171044"/>
    <n v="6.4086467971263694"/>
    <n v="15347"/>
  </r>
  <r>
    <x v="42"/>
    <s v="Linkedin"/>
    <n v="3196"/>
    <n v="348"/>
    <n v="1037497"/>
    <n v="2848"/>
    <n v="1034649"/>
    <n v="0.27526243199384526"/>
    <n v="14.03040201562029"/>
    <n v="40314"/>
  </r>
  <r>
    <x v="42"/>
    <s v="Youtube"/>
    <n v="4747"/>
    <n v="558"/>
    <n v="1041686"/>
    <n v="4189"/>
    <n v="1037497"/>
    <n v="0.40376020364396237"/>
    <n v="5.7680529449373434"/>
    <n v="12643"/>
  </r>
  <r>
    <x v="42"/>
    <s v="Linkedin"/>
    <n v="9843"/>
    <n v="508"/>
    <n v="1051021"/>
    <n v="9335"/>
    <n v="1041686"/>
    <n v="0.89614336757909763"/>
    <n v="4.2080986012648651"/>
    <n v="50785"/>
  </r>
  <r>
    <x v="43"/>
    <s v="Twitter"/>
    <n v="6978"/>
    <n v="706"/>
    <n v="1057293"/>
    <n v="6272"/>
    <n v="1051021"/>
    <n v="0.59675306202254763"/>
    <n v="5.057443868445171"/>
    <n v="28681"/>
  </r>
  <r>
    <x v="43"/>
    <s v="Instagram"/>
    <n v="6607"/>
    <n v="479"/>
    <n v="1063421"/>
    <n v="6128"/>
    <n v="1057293"/>
    <n v="0.57959335775418919"/>
    <n v="5.5892257158735816"/>
    <n v="48328"/>
  </r>
  <r>
    <x v="43"/>
    <s v="Youtube"/>
    <n v="1769"/>
    <n v="202"/>
    <n v="1064988"/>
    <n v="1567"/>
    <n v="1063421"/>
    <n v="0.14735462248723694"/>
    <n v="6.5457075572682513"/>
    <n v="25892"/>
  </r>
  <r>
    <x v="43"/>
    <s v="Linkedin"/>
    <n v="1780"/>
    <n v="120"/>
    <n v="1066648"/>
    <n v="1660"/>
    <n v="1064988"/>
    <n v="0.15587030088601936"/>
    <n v="13.86474263299608"/>
    <n v="57299"/>
  </r>
  <r>
    <x v="44"/>
    <s v="Youtube"/>
    <n v="7303"/>
    <n v="869"/>
    <n v="1073082"/>
    <n v="6434"/>
    <n v="1066648"/>
    <n v="0.60319805596597942"/>
    <n v="8.1237966902808925"/>
    <n v="27073"/>
  </r>
  <r>
    <x v="44"/>
    <s v="Linkedin"/>
    <n v="4983"/>
    <n v="441"/>
    <n v="1077624"/>
    <n v="4542"/>
    <n v="1073082"/>
    <n v="0.42326681465162957"/>
    <n v="6.8954477628560609"/>
    <n v="46768"/>
  </r>
  <r>
    <x v="44"/>
    <s v="Twitter"/>
    <n v="9714"/>
    <n v="1395"/>
    <n v="1085943"/>
    <n v="8319"/>
    <n v="1077624"/>
    <n v="0.77197612525333514"/>
    <n v="5.2243073531483697"/>
    <n v="40682"/>
  </r>
  <r>
    <x v="44"/>
    <s v="Instagram"/>
    <n v="1521"/>
    <n v="96"/>
    <n v="1087368"/>
    <n v="1425"/>
    <n v="1085943"/>
    <n v="0.13122235697453735"/>
    <n v="12.709772588488899"/>
    <n v="42262"/>
  </r>
  <r>
    <x v="45"/>
    <s v="Linkedin"/>
    <n v="8569"/>
    <n v="720"/>
    <n v="1095217"/>
    <n v="7849"/>
    <n v="1087368"/>
    <n v="0.72183474223997768"/>
    <n v="9.589697749395782"/>
    <n v="41358"/>
  </r>
  <r>
    <x v="45"/>
    <s v="Linkedin"/>
    <n v="6784"/>
    <n v="416"/>
    <n v="1101585"/>
    <n v="6368"/>
    <n v="1095217"/>
    <n v="0.58143728594424671"/>
    <n v="9.3041390360253633"/>
    <n v="24289"/>
  </r>
  <r>
    <x v="45"/>
    <s v="Linkedin"/>
    <n v="5583"/>
    <n v="795"/>
    <n v="1106373"/>
    <n v="4788"/>
    <n v="1101585"/>
    <n v="0.4346464412641784"/>
    <n v="12.21550055903389"/>
    <n v="59823"/>
  </r>
  <r>
    <x v="45"/>
    <s v="Linkedin"/>
    <n v="6946"/>
    <n v="956"/>
    <n v="1112363"/>
    <n v="5990"/>
    <n v="1106373"/>
    <n v="0.54140872924411565"/>
    <n v="1.64146056637986"/>
    <n v="17927"/>
  </r>
  <r>
    <x v="46"/>
    <s v="Instagram"/>
    <n v="5941"/>
    <n v="450"/>
    <n v="1117854"/>
    <n v="5491"/>
    <n v="1112363"/>
    <n v="0.49363382277188295"/>
    <n v="12.414411899944"/>
    <n v="58330"/>
  </r>
  <r>
    <x v="46"/>
    <s v="Instagram"/>
    <n v="7267"/>
    <n v="842"/>
    <n v="1124279"/>
    <n v="6425"/>
    <n v="1117854"/>
    <n v="0.5747619993308607"/>
    <n v="2.2102165031989389"/>
    <n v="11171"/>
  </r>
  <r>
    <x v="46"/>
    <s v="Twitter"/>
    <n v="8128"/>
    <n v="1070"/>
    <n v="1131337"/>
    <n v="7058"/>
    <n v="1124279"/>
    <n v="0.62778011507819675"/>
    <n v="8.1114645768679008"/>
    <n v="21918"/>
  </r>
  <r>
    <x v="46"/>
    <s v="Instagram"/>
    <n v="3461"/>
    <n v="365"/>
    <n v="1134433"/>
    <n v="3096"/>
    <n v="1131337"/>
    <n v="0.27365851200835828"/>
    <n v="10.23489267325616"/>
    <n v="51903"/>
  </r>
  <r>
    <x v="47"/>
    <s v="Linkedin"/>
    <n v="1685"/>
    <n v="173"/>
    <n v="1135945"/>
    <n v="1512"/>
    <n v="1134433"/>
    <n v="0.13328244153687349"/>
    <n v="8.7776256772995165"/>
    <n v="49110"/>
  </r>
  <r>
    <x v="47"/>
    <s v="Twitter"/>
    <n v="3160"/>
    <n v="234"/>
    <n v="1138871"/>
    <n v="2926"/>
    <n v="1135945"/>
    <n v="0.25758289353797942"/>
    <n v="5.6959041015180816"/>
    <n v="21929"/>
  </r>
  <r>
    <x v="47"/>
    <s v="Twitter"/>
    <n v="8031"/>
    <n v="476"/>
    <n v="1146426"/>
    <n v="7555"/>
    <n v="1138871"/>
    <n v="0.66337627352000361"/>
    <n v="11.940413075069831"/>
    <n v="12539"/>
  </r>
  <r>
    <x v="47"/>
    <s v="Twitter"/>
    <n v="6341"/>
    <n v="885"/>
    <n v="1151882"/>
    <n v="5456"/>
    <n v="1146426"/>
    <n v="0.47591384005596526"/>
    <n v="6.3457020771224837"/>
    <n v="46727"/>
  </r>
  <r>
    <x v="48"/>
    <s v="Linkedin"/>
    <n v="1038"/>
    <n v="145"/>
    <n v="1152775"/>
    <n v="893"/>
    <n v="1151882"/>
    <n v="7.752530207087184E-2"/>
    <n v="11.093752033137431"/>
    <n v="55951"/>
  </r>
  <r>
    <x v="48"/>
    <s v="Youtube"/>
    <n v="5875"/>
    <n v="665"/>
    <n v="1157985"/>
    <n v="5210"/>
    <n v="1152775"/>
    <n v="0.45195289627203922"/>
    <n v="6.9871371390821126"/>
    <n v="32669"/>
  </r>
  <r>
    <x v="48"/>
    <s v="Linkedin"/>
    <n v="2256"/>
    <n v="189"/>
    <n v="1160052"/>
    <n v="2067"/>
    <n v="1157985"/>
    <n v="0.17849972149898313"/>
    <n v="2.8935771844710412"/>
    <n v="15432"/>
  </r>
  <r>
    <x v="48"/>
    <s v="Instagram"/>
    <n v="8697"/>
    <n v="738"/>
    <n v="1168011"/>
    <n v="7959"/>
    <n v="1160052"/>
    <n v="0.68608993389951478"/>
    <n v="3.8777032065622672"/>
    <n v="30644"/>
  </r>
  <r>
    <x v="49"/>
    <s v="Instagram"/>
    <n v="3196"/>
    <n v="391"/>
    <n v="1170816"/>
    <n v="2805"/>
    <n v="1168011"/>
    <n v="0.24015184788499425"/>
    <n v="7.2439221876024931"/>
    <n v="28745"/>
  </r>
  <r>
    <x v="49"/>
    <s v="Linkedin"/>
    <n v="8165"/>
    <n v="1140"/>
    <n v="1177841"/>
    <n v="7025"/>
    <n v="1170816"/>
    <n v="0.60000888269377939"/>
    <n v="9.095964565675672"/>
    <n v="38228"/>
  </r>
  <r>
    <x v="49"/>
    <s v="Linkedin"/>
    <n v="1301"/>
    <n v="180"/>
    <n v="1178962"/>
    <n v="1121"/>
    <n v="1177841"/>
    <n v="9.5174136407206067E-2"/>
    <n v="5.2275645864752214"/>
    <n v="44521"/>
  </r>
  <r>
    <x v="49"/>
    <s v="Twitter"/>
    <n v="8527"/>
    <n v="1091"/>
    <n v="1186398"/>
    <n v="7436"/>
    <n v="1178962"/>
    <n v="0.63072431511787486"/>
    <n v="1.676081719625286"/>
    <n v="417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A44164-A554-48E6-89C3-B3D331351244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A3:E54" firstHeaderRow="1" firstDataRow="2" firstDataCol="1"/>
  <pivotFields count="7"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dataField="1" numFmtId="1" showAll="0"/>
    <pivotField numFmtId="1" showAll="0"/>
    <pivotField numFmtId="1" showAll="0"/>
    <pivotField showAll="0"/>
    <pivotField numFmtId="1" showAll="0"/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Sum of New_Followers" fld="2" baseField="0" baseItem="0" numFmtId="1"/>
  </dataFields>
  <formats count="10">
    <format dxfId="22">
      <pivotArea outline="0" collapsedLevelsAreSubtotals="1" fieldPosition="0"/>
    </format>
    <format dxfId="21">
      <pivotArea dataOnly="0" labelOnly="1" fieldPosition="0">
        <references count="1">
          <reference field="0" count="0"/>
        </references>
      </pivotArea>
    </format>
    <format dxfId="20">
      <pivotArea field="0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outline="0" collapsedLevelsAreSubtotals="1" fieldPosition="0"/>
    </format>
    <format dxfId="17">
      <pivotArea dataOnly="0" labelOnly="1" fieldPosition="0">
        <references count="1">
          <reference field="0" count="0"/>
        </references>
      </pivotArea>
    </format>
    <format dxfId="16">
      <pivotArea outline="0" collapsedLevelsAreSubtotals="1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outline="0" collapsedLevelsAreSubtotals="1" fieldPosition="0"/>
    </format>
    <format dxfId="13">
      <pivotArea dataOnly="0" labelOnly="1" fieldPosition="0">
        <references count="1">
          <reference field="0" count="0"/>
        </references>
      </pivotArea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BD4DB3-166E-4CB9-A8FB-A6CBB1BEF69E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A3:B53" firstHeaderRow="1" firstDataRow="1" firstDataCol="1"/>
  <pivotFields count="7">
    <pivotField axis="axisRow" showAll="0" sortType="descending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0"/>
        <item x="3"/>
        <item x="1"/>
        <item x="2"/>
        <item t="default"/>
      </items>
    </pivotField>
    <pivotField dataField="1" numFmtId="1" showAll="0"/>
    <pivotField numFmtId="1" showAll="0"/>
    <pivotField numFmtId="1" showAll="0"/>
    <pivotField showAll="0"/>
    <pivotField numFmtId="1" showAll="0"/>
  </pivotFields>
  <rowFields count="1">
    <field x="0"/>
  </rowFields>
  <rowItems count="50">
    <i>
      <x v="7"/>
    </i>
    <i>
      <x v="20"/>
    </i>
    <i>
      <x v="38"/>
    </i>
    <i>
      <x v="35"/>
    </i>
    <i>
      <x v="3"/>
    </i>
    <i>
      <x v="25"/>
    </i>
    <i>
      <x/>
    </i>
    <i>
      <x v="41"/>
    </i>
    <i>
      <x v="33"/>
    </i>
    <i>
      <x v="21"/>
    </i>
    <i>
      <x v="31"/>
    </i>
    <i>
      <x v="10"/>
    </i>
    <i>
      <x v="2"/>
    </i>
    <i>
      <x v="45"/>
    </i>
    <i>
      <x v="42"/>
    </i>
    <i>
      <x v="14"/>
    </i>
    <i>
      <x v="30"/>
    </i>
    <i>
      <x v="13"/>
    </i>
    <i>
      <x v="11"/>
    </i>
    <i>
      <x v="19"/>
    </i>
    <i>
      <x v="34"/>
    </i>
    <i>
      <x v="1"/>
    </i>
    <i>
      <x v="46"/>
    </i>
    <i>
      <x v="12"/>
    </i>
    <i>
      <x v="44"/>
    </i>
    <i>
      <x v="39"/>
    </i>
    <i>
      <x v="24"/>
    </i>
    <i>
      <x v="28"/>
    </i>
    <i>
      <x v="23"/>
    </i>
    <i>
      <x v="4"/>
    </i>
    <i>
      <x v="29"/>
    </i>
    <i>
      <x v="49"/>
    </i>
    <i>
      <x v="5"/>
    </i>
    <i>
      <x v="17"/>
    </i>
    <i>
      <x v="26"/>
    </i>
    <i>
      <x v="32"/>
    </i>
    <i>
      <x v="16"/>
    </i>
    <i>
      <x v="18"/>
    </i>
    <i>
      <x v="40"/>
    </i>
    <i>
      <x v="37"/>
    </i>
    <i>
      <x v="8"/>
    </i>
    <i>
      <x v="47"/>
    </i>
    <i>
      <x v="22"/>
    </i>
    <i>
      <x v="48"/>
    </i>
    <i>
      <x v="43"/>
    </i>
    <i>
      <x v="27"/>
    </i>
    <i>
      <x v="15"/>
    </i>
    <i>
      <x v="6"/>
    </i>
    <i>
      <x v="9"/>
    </i>
    <i>
      <x v="36"/>
    </i>
  </rowItems>
  <colItems count="1">
    <i/>
  </colItems>
  <dataFields count="1">
    <dataField name="Sum of New_Followers" fld="2" baseField="0" baseItem="0" numFmtId="1"/>
  </dataFields>
  <formats count="13">
    <format dxfId="12">
      <pivotArea outline="0" collapsedLevelsAreSubtotals="1" fieldPosition="0"/>
    </format>
    <format dxfId="11">
      <pivotArea dataOnly="0" labelOnly="1" fieldPosition="0">
        <references count="1">
          <reference field="0" count="0"/>
        </references>
      </pivotArea>
    </format>
    <format dxfId="10">
      <pivotArea field="0" type="button" dataOnly="0" labelOnly="1" outline="0" axis="axisRow" fieldPosition="0"/>
    </format>
    <format dxfId="9">
      <pivotArea outline="0" collapsedLevelsAreSubtotals="1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outline="0" collapsedLevelsAreSubtotals="1" fieldPosition="0"/>
    </format>
    <format dxfId="6">
      <pivotArea dataOnly="0" labelOnly="1" fieldPosition="0">
        <references count="1">
          <reference field="0" count="0"/>
        </references>
      </pivotArea>
    </format>
    <format dxfId="5">
      <pivotArea outline="0" collapsedLevelsAreSubtotals="1" fieldPosition="0"/>
    </format>
    <format dxfId="4">
      <pivotArea dataOnly="0" labelOnly="1" fieldPosition="0">
        <references count="1">
          <reference field="0" count="0"/>
        </references>
      </pivotArea>
    </format>
    <format dxfId="3">
      <pivotArea outline="0" collapsedLevelsAreSubtotals="1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collapsedLevelsAreSubtotals="1" fieldPosition="0">
        <references count="1">
          <reference field="0" count="1">
            <x v="7"/>
          </reference>
        </references>
      </pivotArea>
    </format>
    <format dxfId="0">
      <pivotArea dataOnly="0" labelOnly="1" fieldPosition="0">
        <references count="1">
          <reference field="0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EBBCE-B247-4FBA-BA78-C937884A8FF9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L1:M51" firstHeaderRow="1" firstDataRow="1" firstDataCol="1"/>
  <pivotFields count="10"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2" showAll="0"/>
    <pivotField showAll="0"/>
    <pivotField numFmtId="1" showAll="0"/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</rowItems>
  <colItems count="1">
    <i/>
  </colItems>
  <dataFields count="1">
    <dataField name="Average of Follower Growth Rate " fld="7" subtotal="average" baseField="0" baseItem="13" numFmtId="2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G3" sqref="G3"/>
    </sheetView>
  </sheetViews>
  <sheetFormatPr defaultColWidth="14.44140625" defaultRowHeight="15" customHeight="1" x14ac:dyDescent="0.3"/>
  <cols>
    <col min="1" max="1" width="10.88671875" style="2" bestFit="1" customWidth="1"/>
    <col min="2" max="2" width="12.77734375" style="2" bestFit="1" customWidth="1"/>
    <col min="3" max="3" width="10.33203125" style="2" bestFit="1" customWidth="1"/>
    <col min="4" max="4" width="16.33203125" style="2" bestFit="1" customWidth="1"/>
    <col min="5" max="5" width="31.44140625" style="2" bestFit="1" customWidth="1"/>
    <col min="6" max="7" width="31.44140625" style="2" customWidth="1"/>
    <col min="8" max="8" width="9.5546875" style="2" bestFit="1" customWidth="1"/>
    <col min="9" max="9" width="11" style="2" bestFit="1" customWidth="1"/>
    <col min="10" max="10" width="14.5546875" style="2" bestFit="1" customWidth="1"/>
    <col min="11" max="11" width="10.109375" style="2" bestFit="1" customWidth="1"/>
    <col min="12" max="12" width="10.5546875" style="2" bestFit="1" customWidth="1"/>
    <col min="13" max="13" width="15.44140625" style="2" bestFit="1" customWidth="1"/>
    <col min="14" max="14" width="26" style="2" bestFit="1" customWidth="1"/>
    <col min="15" max="28" width="8.6640625" style="2" customWidth="1"/>
    <col min="29" max="16384" width="14.44140625" style="2"/>
  </cols>
  <sheetData>
    <row r="1" spans="1:1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560</v>
      </c>
      <c r="G1" s="12" t="s">
        <v>561</v>
      </c>
      <c r="H1" s="1" t="s">
        <v>5</v>
      </c>
      <c r="I1" s="1" t="s">
        <v>6</v>
      </c>
      <c r="J1" s="1" t="s">
        <v>7</v>
      </c>
      <c r="K1" s="9" t="s">
        <v>8</v>
      </c>
      <c r="L1" s="11" t="s">
        <v>9</v>
      </c>
      <c r="M1" s="10" t="s">
        <v>10</v>
      </c>
      <c r="N1" s="1" t="s">
        <v>11</v>
      </c>
    </row>
    <row r="2" spans="1:14" ht="14.25" customHeight="1" x14ac:dyDescent="0.3">
      <c r="A2" s="3" t="s">
        <v>12</v>
      </c>
      <c r="B2" s="3" t="s">
        <v>541</v>
      </c>
      <c r="C2" s="6" t="s">
        <v>13</v>
      </c>
      <c r="D2" s="3" t="s">
        <v>14</v>
      </c>
      <c r="E2" s="3" t="s">
        <v>15</v>
      </c>
      <c r="F2" s="3" t="s">
        <v>543</v>
      </c>
      <c r="G2" s="3" t="s">
        <v>544</v>
      </c>
      <c r="H2" s="8">
        <v>24516</v>
      </c>
      <c r="I2" s="8">
        <v>976</v>
      </c>
      <c r="J2" s="8">
        <v>974</v>
      </c>
      <c r="K2" s="8">
        <v>2675</v>
      </c>
      <c r="L2" s="7">
        <v>23275</v>
      </c>
      <c r="M2" s="3">
        <v>202932</v>
      </c>
      <c r="N2" s="3" t="s">
        <v>16</v>
      </c>
    </row>
    <row r="3" spans="1:14" ht="14.25" customHeight="1" x14ac:dyDescent="0.3">
      <c r="A3" s="3" t="s">
        <v>17</v>
      </c>
      <c r="B3" s="3" t="s">
        <v>542</v>
      </c>
      <c r="C3" s="6">
        <v>45903</v>
      </c>
      <c r="D3" s="3" t="s">
        <v>14</v>
      </c>
      <c r="E3" s="3" t="s">
        <v>18</v>
      </c>
      <c r="F3" s="3" t="s">
        <v>545</v>
      </c>
      <c r="G3" s="3" t="s">
        <v>546</v>
      </c>
      <c r="H3" s="8">
        <v>4779</v>
      </c>
      <c r="I3" s="8">
        <v>1110</v>
      </c>
      <c r="J3" s="8">
        <v>436</v>
      </c>
      <c r="K3" s="8">
        <v>1574</v>
      </c>
      <c r="L3" s="7">
        <v>77167</v>
      </c>
      <c r="M3" s="3">
        <v>71585</v>
      </c>
      <c r="N3" s="3" t="s">
        <v>19</v>
      </c>
    </row>
    <row r="4" spans="1:14" ht="14.25" customHeight="1" x14ac:dyDescent="0.3">
      <c r="A4" s="3" t="s">
        <v>20</v>
      </c>
      <c r="B4" s="3" t="s">
        <v>21</v>
      </c>
      <c r="C4" s="6" t="s">
        <v>22</v>
      </c>
      <c r="D4" s="3" t="s">
        <v>23</v>
      </c>
      <c r="E4" s="3" t="s">
        <v>24</v>
      </c>
      <c r="F4" s="3" t="s">
        <v>547</v>
      </c>
      <c r="G4" s="3" t="s">
        <v>548</v>
      </c>
      <c r="H4" s="8">
        <v>19308</v>
      </c>
      <c r="I4" s="8">
        <v>1318</v>
      </c>
      <c r="J4" s="8">
        <v>795</v>
      </c>
      <c r="K4" s="8">
        <v>1499</v>
      </c>
      <c r="L4" s="7">
        <v>52307</v>
      </c>
      <c r="M4" s="3">
        <v>193087</v>
      </c>
      <c r="N4" s="3" t="s">
        <v>25</v>
      </c>
    </row>
    <row r="5" spans="1:14" ht="14.25" customHeight="1" x14ac:dyDescent="0.3">
      <c r="A5" s="3" t="s">
        <v>26</v>
      </c>
      <c r="B5" s="3" t="s">
        <v>541</v>
      </c>
      <c r="C5" s="6" t="s">
        <v>27</v>
      </c>
      <c r="D5" s="3" t="s">
        <v>28</v>
      </c>
      <c r="E5" s="3" t="s">
        <v>29</v>
      </c>
      <c r="F5" s="3" t="s">
        <v>549</v>
      </c>
      <c r="G5" s="3" t="s">
        <v>550</v>
      </c>
      <c r="H5" s="8">
        <v>3581</v>
      </c>
      <c r="I5" s="8">
        <v>517</v>
      </c>
      <c r="J5" s="8">
        <v>880</v>
      </c>
      <c r="K5" s="8">
        <v>1925</v>
      </c>
      <c r="L5" s="7">
        <v>18636</v>
      </c>
      <c r="M5" s="3">
        <v>248611</v>
      </c>
      <c r="N5" s="3" t="s">
        <v>30</v>
      </c>
    </row>
    <row r="6" spans="1:14" ht="14.25" customHeight="1" x14ac:dyDescent="0.3">
      <c r="A6" s="3" t="s">
        <v>31</v>
      </c>
      <c r="B6" s="3" t="s">
        <v>541</v>
      </c>
      <c r="C6" s="6">
        <v>45904</v>
      </c>
      <c r="D6" s="3" t="s">
        <v>28</v>
      </c>
      <c r="E6" s="3" t="s">
        <v>15</v>
      </c>
      <c r="F6" s="3" t="s">
        <v>543</v>
      </c>
      <c r="G6" s="3" t="s">
        <v>544</v>
      </c>
      <c r="H6" s="8">
        <v>21708</v>
      </c>
      <c r="I6" s="8">
        <v>435</v>
      </c>
      <c r="J6" s="8">
        <v>317</v>
      </c>
      <c r="K6" s="8">
        <v>1213</v>
      </c>
      <c r="L6" s="7">
        <v>70701</v>
      </c>
      <c r="M6" s="3">
        <v>83585</v>
      </c>
      <c r="N6" s="3" t="s">
        <v>19</v>
      </c>
    </row>
    <row r="7" spans="1:14" ht="14.25" customHeight="1" x14ac:dyDescent="0.3">
      <c r="A7" s="3" t="s">
        <v>32</v>
      </c>
      <c r="B7" s="3" t="s">
        <v>542</v>
      </c>
      <c r="C7" s="6">
        <v>45905</v>
      </c>
      <c r="D7" s="3" t="s">
        <v>14</v>
      </c>
      <c r="E7" s="3" t="s">
        <v>33</v>
      </c>
      <c r="F7" s="3" t="s">
        <v>33</v>
      </c>
      <c r="G7" s="3"/>
      <c r="H7" s="8">
        <v>14677</v>
      </c>
      <c r="I7" s="8">
        <v>533</v>
      </c>
      <c r="J7" s="8">
        <v>759</v>
      </c>
      <c r="K7" s="8">
        <v>753</v>
      </c>
      <c r="L7" s="7">
        <v>23275</v>
      </c>
      <c r="M7" s="3">
        <v>66958</v>
      </c>
      <c r="N7" s="3" t="s">
        <v>19</v>
      </c>
    </row>
    <row r="8" spans="1:14" ht="14.25" customHeight="1" x14ac:dyDescent="0.3">
      <c r="A8" s="3" t="s">
        <v>34</v>
      </c>
      <c r="B8" s="3" t="s">
        <v>21</v>
      </c>
      <c r="C8" s="6" t="s">
        <v>35</v>
      </c>
      <c r="D8" s="3" t="s">
        <v>36</v>
      </c>
      <c r="E8" s="3" t="s">
        <v>37</v>
      </c>
      <c r="F8" s="3" t="s">
        <v>551</v>
      </c>
      <c r="G8" s="3" t="s">
        <v>552</v>
      </c>
      <c r="H8" s="8">
        <v>7713</v>
      </c>
      <c r="I8" s="8">
        <v>575</v>
      </c>
      <c r="J8" s="8">
        <v>417</v>
      </c>
      <c r="K8" s="8">
        <v>336</v>
      </c>
      <c r="L8" s="7">
        <v>61660</v>
      </c>
      <c r="M8" s="3">
        <v>66017</v>
      </c>
      <c r="N8" s="3" t="s">
        <v>30</v>
      </c>
    </row>
    <row r="9" spans="1:14" ht="14.25" customHeight="1" x14ac:dyDescent="0.3">
      <c r="A9" s="3" t="s">
        <v>38</v>
      </c>
      <c r="B9" s="3" t="s">
        <v>21</v>
      </c>
      <c r="C9" s="6" t="s">
        <v>39</v>
      </c>
      <c r="D9" s="3" t="s">
        <v>28</v>
      </c>
      <c r="E9" s="3" t="s">
        <v>40</v>
      </c>
      <c r="F9" s="3" t="s">
        <v>553</v>
      </c>
      <c r="G9" s="3" t="s">
        <v>554</v>
      </c>
      <c r="H9" s="8">
        <v>18639</v>
      </c>
      <c r="I9" s="8">
        <v>1360</v>
      </c>
      <c r="J9" s="8">
        <v>898</v>
      </c>
      <c r="K9" s="8">
        <v>2011</v>
      </c>
      <c r="L9" s="7">
        <v>42841</v>
      </c>
      <c r="M9" s="3">
        <v>247779</v>
      </c>
      <c r="N9" s="3" t="s">
        <v>30</v>
      </c>
    </row>
    <row r="10" spans="1:14" ht="14.25" customHeight="1" x14ac:dyDescent="0.3">
      <c r="A10" s="3" t="s">
        <v>41</v>
      </c>
      <c r="B10" s="3" t="s">
        <v>541</v>
      </c>
      <c r="C10" s="6" t="s">
        <v>42</v>
      </c>
      <c r="D10" s="3" t="s">
        <v>36</v>
      </c>
      <c r="E10" s="3" t="s">
        <v>18</v>
      </c>
      <c r="F10" s="3" t="s">
        <v>545</v>
      </c>
      <c r="G10" s="3" t="s">
        <v>546</v>
      </c>
      <c r="H10" s="8">
        <v>6804</v>
      </c>
      <c r="I10" s="8">
        <v>787</v>
      </c>
      <c r="J10" s="8">
        <v>970</v>
      </c>
      <c r="K10" s="8">
        <v>1095</v>
      </c>
      <c r="L10" s="7">
        <v>56343</v>
      </c>
      <c r="M10" s="3">
        <v>164677</v>
      </c>
      <c r="N10" s="3" t="s">
        <v>16</v>
      </c>
    </row>
    <row r="11" spans="1:14" ht="14.25" customHeight="1" x14ac:dyDescent="0.3">
      <c r="A11" s="3" t="s">
        <v>43</v>
      </c>
      <c r="B11" s="3" t="s">
        <v>44</v>
      </c>
      <c r="C11" s="6" t="s">
        <v>45</v>
      </c>
      <c r="D11" s="3" t="s">
        <v>28</v>
      </c>
      <c r="E11" s="3" t="s">
        <v>46</v>
      </c>
      <c r="F11" s="3" t="s">
        <v>555</v>
      </c>
      <c r="G11" s="3" t="s">
        <v>549</v>
      </c>
      <c r="H11" s="8">
        <v>20222</v>
      </c>
      <c r="I11" s="8">
        <v>712</v>
      </c>
      <c r="J11" s="8">
        <v>604</v>
      </c>
      <c r="K11" s="8">
        <v>1272</v>
      </c>
      <c r="L11" s="7">
        <v>71598</v>
      </c>
      <c r="M11" s="3">
        <v>216422</v>
      </c>
      <c r="N11" s="3" t="s">
        <v>25</v>
      </c>
    </row>
    <row r="12" spans="1:14" ht="14.25" customHeight="1" x14ac:dyDescent="0.3">
      <c r="A12" s="3" t="s">
        <v>47</v>
      </c>
      <c r="B12" s="3" t="s">
        <v>541</v>
      </c>
      <c r="C12" s="6" t="s">
        <v>48</v>
      </c>
      <c r="D12" s="3" t="s">
        <v>36</v>
      </c>
      <c r="E12" s="3" t="s">
        <v>29</v>
      </c>
      <c r="F12" s="3" t="s">
        <v>549</v>
      </c>
      <c r="G12" s="3" t="s">
        <v>550</v>
      </c>
      <c r="H12" s="8">
        <v>12136</v>
      </c>
      <c r="I12" s="8">
        <v>1117</v>
      </c>
      <c r="J12" s="8">
        <v>834</v>
      </c>
      <c r="K12" s="8">
        <v>892</v>
      </c>
      <c r="L12" s="7">
        <v>24675</v>
      </c>
      <c r="M12" s="3">
        <v>183273</v>
      </c>
      <c r="N12" s="3" t="s">
        <v>25</v>
      </c>
    </row>
    <row r="13" spans="1:14" ht="14.25" customHeight="1" x14ac:dyDescent="0.3">
      <c r="A13" s="3" t="s">
        <v>49</v>
      </c>
      <c r="B13" s="3" t="s">
        <v>541</v>
      </c>
      <c r="C13" s="6" t="s">
        <v>50</v>
      </c>
      <c r="D13" s="3" t="s">
        <v>23</v>
      </c>
      <c r="E13" s="3" t="s">
        <v>18</v>
      </c>
      <c r="F13" s="3" t="s">
        <v>545</v>
      </c>
      <c r="G13" s="3" t="s">
        <v>546</v>
      </c>
      <c r="H13" s="8">
        <v>2009</v>
      </c>
      <c r="I13" s="8">
        <v>1072</v>
      </c>
      <c r="J13" s="8">
        <v>550</v>
      </c>
      <c r="K13" s="8">
        <v>1437</v>
      </c>
      <c r="L13" s="7">
        <v>22982</v>
      </c>
      <c r="M13" s="3">
        <v>69426</v>
      </c>
      <c r="N13" s="3" t="s">
        <v>30</v>
      </c>
    </row>
    <row r="14" spans="1:14" ht="14.25" customHeight="1" x14ac:dyDescent="0.3">
      <c r="A14" s="3" t="s">
        <v>51</v>
      </c>
      <c r="B14" s="3" t="s">
        <v>541</v>
      </c>
      <c r="C14" s="6" t="s">
        <v>52</v>
      </c>
      <c r="D14" s="3" t="s">
        <v>36</v>
      </c>
      <c r="E14" s="3" t="s">
        <v>37</v>
      </c>
      <c r="F14" s="3" t="s">
        <v>551</v>
      </c>
      <c r="G14" s="3" t="s">
        <v>552</v>
      </c>
      <c r="H14" s="8">
        <v>21255</v>
      </c>
      <c r="I14" s="8">
        <v>1452</v>
      </c>
      <c r="J14" s="8">
        <v>625</v>
      </c>
      <c r="K14" s="8">
        <v>1624</v>
      </c>
      <c r="L14" s="7">
        <v>21282</v>
      </c>
      <c r="M14" s="3">
        <v>57778</v>
      </c>
      <c r="N14" s="3" t="s">
        <v>53</v>
      </c>
    </row>
    <row r="15" spans="1:14" ht="14.25" customHeight="1" x14ac:dyDescent="0.3">
      <c r="A15" s="3" t="s">
        <v>54</v>
      </c>
      <c r="B15" s="3" t="s">
        <v>541</v>
      </c>
      <c r="C15" s="6">
        <v>45906</v>
      </c>
      <c r="D15" s="3" t="s">
        <v>23</v>
      </c>
      <c r="E15" s="3" t="s">
        <v>40</v>
      </c>
      <c r="F15" s="3" t="s">
        <v>553</v>
      </c>
      <c r="G15" s="3" t="s">
        <v>554</v>
      </c>
      <c r="H15" s="8">
        <v>7124</v>
      </c>
      <c r="I15" s="8">
        <v>469</v>
      </c>
      <c r="J15" s="8">
        <v>851</v>
      </c>
      <c r="K15" s="8">
        <v>2571</v>
      </c>
      <c r="L15" s="7">
        <v>33802</v>
      </c>
      <c r="M15" s="3">
        <v>216313</v>
      </c>
      <c r="N15" s="3" t="s">
        <v>19</v>
      </c>
    </row>
    <row r="16" spans="1:14" ht="14.25" customHeight="1" x14ac:dyDescent="0.3">
      <c r="A16" s="3" t="s">
        <v>55</v>
      </c>
      <c r="B16" s="3" t="s">
        <v>542</v>
      </c>
      <c r="C16" s="6">
        <v>45907</v>
      </c>
      <c r="D16" s="3" t="s">
        <v>23</v>
      </c>
      <c r="E16" s="3" t="s">
        <v>24</v>
      </c>
      <c r="F16" s="3" t="s">
        <v>547</v>
      </c>
      <c r="G16" s="3" t="s">
        <v>548</v>
      </c>
      <c r="H16" s="8">
        <v>3015</v>
      </c>
      <c r="I16" s="8">
        <v>997</v>
      </c>
      <c r="J16" s="8">
        <v>783</v>
      </c>
      <c r="K16" s="8">
        <v>617</v>
      </c>
      <c r="L16" s="7">
        <v>77167</v>
      </c>
      <c r="M16" s="3">
        <v>82229</v>
      </c>
      <c r="N16" s="3" t="s">
        <v>19</v>
      </c>
    </row>
    <row r="17" spans="1:14" ht="14.25" customHeight="1" x14ac:dyDescent="0.3">
      <c r="A17" s="3" t="s">
        <v>56</v>
      </c>
      <c r="B17" s="3" t="s">
        <v>21</v>
      </c>
      <c r="C17" s="6" t="s">
        <v>57</v>
      </c>
      <c r="D17" s="3" t="s">
        <v>36</v>
      </c>
      <c r="E17" s="3" t="s">
        <v>40</v>
      </c>
      <c r="F17" s="3" t="s">
        <v>553</v>
      </c>
      <c r="G17" s="3" t="s">
        <v>554</v>
      </c>
      <c r="H17" s="8">
        <v>4193</v>
      </c>
      <c r="I17" s="8">
        <v>924</v>
      </c>
      <c r="J17" s="8">
        <v>707</v>
      </c>
      <c r="K17" s="8">
        <v>2696</v>
      </c>
      <c r="L17" s="7">
        <v>55075</v>
      </c>
      <c r="M17" s="3">
        <v>126652</v>
      </c>
      <c r="N17" s="3" t="s">
        <v>30</v>
      </c>
    </row>
    <row r="18" spans="1:14" ht="14.25" customHeight="1" x14ac:dyDescent="0.3">
      <c r="A18" s="3" t="s">
        <v>58</v>
      </c>
      <c r="B18" s="3" t="s">
        <v>542</v>
      </c>
      <c r="C18" s="6" t="s">
        <v>59</v>
      </c>
      <c r="D18" s="3" t="s">
        <v>23</v>
      </c>
      <c r="E18" s="3" t="s">
        <v>60</v>
      </c>
      <c r="F18" s="3" t="s">
        <v>549</v>
      </c>
      <c r="G18" s="3" t="s">
        <v>556</v>
      </c>
      <c r="H18" s="8">
        <v>10415</v>
      </c>
      <c r="I18" s="8">
        <v>1388</v>
      </c>
      <c r="J18" s="8">
        <v>725</v>
      </c>
      <c r="K18" s="8">
        <v>2462</v>
      </c>
      <c r="L18" s="7">
        <v>53082</v>
      </c>
      <c r="M18" s="3">
        <v>168267</v>
      </c>
      <c r="N18" s="3" t="s">
        <v>53</v>
      </c>
    </row>
    <row r="19" spans="1:14" ht="14.25" customHeight="1" x14ac:dyDescent="0.3">
      <c r="A19" s="3" t="s">
        <v>61</v>
      </c>
      <c r="B19" s="3" t="s">
        <v>542</v>
      </c>
      <c r="C19" s="6" t="s">
        <v>62</v>
      </c>
      <c r="D19" s="3" t="s">
        <v>14</v>
      </c>
      <c r="E19" s="3" t="s">
        <v>40</v>
      </c>
      <c r="F19" s="3" t="s">
        <v>553</v>
      </c>
      <c r="G19" s="3" t="s">
        <v>554</v>
      </c>
      <c r="H19" s="8">
        <v>15550</v>
      </c>
      <c r="I19" s="8">
        <v>204</v>
      </c>
      <c r="J19" s="8">
        <v>279</v>
      </c>
      <c r="K19" s="8">
        <v>1646</v>
      </c>
      <c r="L19" s="7">
        <v>35819</v>
      </c>
      <c r="M19" s="3">
        <v>219436</v>
      </c>
      <c r="N19" s="3" t="s">
        <v>16</v>
      </c>
    </row>
    <row r="20" spans="1:14" ht="14.25" customHeight="1" x14ac:dyDescent="0.3">
      <c r="A20" s="3" t="s">
        <v>63</v>
      </c>
      <c r="B20" s="3" t="s">
        <v>542</v>
      </c>
      <c r="C20" s="6" t="s">
        <v>64</v>
      </c>
      <c r="D20" s="3" t="s">
        <v>23</v>
      </c>
      <c r="E20" s="3" t="s">
        <v>60</v>
      </c>
      <c r="F20" s="3" t="s">
        <v>549</v>
      </c>
      <c r="G20" s="3" t="s">
        <v>556</v>
      </c>
      <c r="H20" s="8">
        <v>16512</v>
      </c>
      <c r="I20" s="8">
        <v>1050</v>
      </c>
      <c r="J20" s="8">
        <v>971</v>
      </c>
      <c r="K20" s="8">
        <v>1891</v>
      </c>
      <c r="L20" s="7">
        <v>15865</v>
      </c>
      <c r="M20" s="3">
        <v>166503</v>
      </c>
      <c r="N20" s="3" t="s">
        <v>30</v>
      </c>
    </row>
    <row r="21" spans="1:14" ht="14.25" customHeight="1" x14ac:dyDescent="0.3">
      <c r="A21" s="3" t="s">
        <v>65</v>
      </c>
      <c r="B21" s="3" t="s">
        <v>541</v>
      </c>
      <c r="C21" s="6" t="s">
        <v>66</v>
      </c>
      <c r="D21" s="3" t="s">
        <v>28</v>
      </c>
      <c r="E21" s="3" t="s">
        <v>24</v>
      </c>
      <c r="F21" s="3" t="s">
        <v>547</v>
      </c>
      <c r="G21" s="3" t="s">
        <v>548</v>
      </c>
      <c r="H21" s="8">
        <v>6158</v>
      </c>
      <c r="I21" s="8">
        <v>277</v>
      </c>
      <c r="J21" s="8">
        <v>512</v>
      </c>
      <c r="K21" s="8">
        <v>2189</v>
      </c>
      <c r="L21" s="7">
        <v>76881</v>
      </c>
      <c r="M21" s="3">
        <v>124878</v>
      </c>
      <c r="N21" s="3" t="s">
        <v>30</v>
      </c>
    </row>
    <row r="22" spans="1:14" ht="14.25" customHeight="1" x14ac:dyDescent="0.3">
      <c r="A22" s="3" t="s">
        <v>67</v>
      </c>
      <c r="B22" s="3" t="s">
        <v>44</v>
      </c>
      <c r="C22" s="6">
        <v>45908</v>
      </c>
      <c r="D22" s="3" t="s">
        <v>36</v>
      </c>
      <c r="E22" s="3" t="s">
        <v>68</v>
      </c>
      <c r="F22" s="3" t="s">
        <v>557</v>
      </c>
      <c r="G22" s="3" t="s">
        <v>33</v>
      </c>
      <c r="H22" s="8">
        <v>22309</v>
      </c>
      <c r="I22" s="8">
        <v>773</v>
      </c>
      <c r="J22" s="8">
        <v>854</v>
      </c>
      <c r="K22" s="8">
        <v>2387</v>
      </c>
      <c r="L22" s="7">
        <v>72396</v>
      </c>
      <c r="M22" s="3">
        <v>97056</v>
      </c>
      <c r="N22" s="3" t="s">
        <v>19</v>
      </c>
    </row>
    <row r="23" spans="1:14" ht="14.25" customHeight="1" x14ac:dyDescent="0.3">
      <c r="A23" s="3" t="s">
        <v>69</v>
      </c>
      <c r="B23" s="3" t="s">
        <v>21</v>
      </c>
      <c r="C23" s="6" t="s">
        <v>70</v>
      </c>
      <c r="D23" s="3" t="s">
        <v>14</v>
      </c>
      <c r="E23" s="3" t="s">
        <v>37</v>
      </c>
      <c r="F23" s="3" t="s">
        <v>551</v>
      </c>
      <c r="G23" s="3" t="s">
        <v>552</v>
      </c>
      <c r="H23" s="8">
        <v>8970</v>
      </c>
      <c r="I23" s="8">
        <v>331</v>
      </c>
      <c r="J23" s="8">
        <v>968</v>
      </c>
      <c r="K23" s="8">
        <v>2296</v>
      </c>
      <c r="L23" s="7">
        <v>24613</v>
      </c>
      <c r="M23" s="3">
        <v>198562</v>
      </c>
      <c r="N23" s="3" t="s">
        <v>30</v>
      </c>
    </row>
    <row r="24" spans="1:14" ht="14.25" customHeight="1" x14ac:dyDescent="0.3">
      <c r="A24" s="3" t="s">
        <v>71</v>
      </c>
      <c r="B24" s="3" t="s">
        <v>44</v>
      </c>
      <c r="C24" s="6" t="s">
        <v>72</v>
      </c>
      <c r="D24" s="3" t="s">
        <v>36</v>
      </c>
      <c r="E24" s="3" t="s">
        <v>60</v>
      </c>
      <c r="F24" s="3" t="s">
        <v>549</v>
      </c>
      <c r="G24" s="3" t="s">
        <v>556</v>
      </c>
      <c r="H24" s="8">
        <v>8938</v>
      </c>
      <c r="I24" s="8">
        <v>800</v>
      </c>
      <c r="J24" s="8">
        <v>842</v>
      </c>
      <c r="K24" s="8">
        <v>2072</v>
      </c>
      <c r="L24" s="7">
        <v>31736</v>
      </c>
      <c r="M24" s="3">
        <v>59975</v>
      </c>
      <c r="N24" s="3" t="s">
        <v>30</v>
      </c>
    </row>
    <row r="25" spans="1:14" ht="14.25" customHeight="1" x14ac:dyDescent="0.3">
      <c r="A25" s="3" t="s">
        <v>73</v>
      </c>
      <c r="B25" s="3" t="s">
        <v>542</v>
      </c>
      <c r="C25" s="6" t="s">
        <v>74</v>
      </c>
      <c r="D25" s="3" t="s">
        <v>28</v>
      </c>
      <c r="E25" s="3" t="s">
        <v>46</v>
      </c>
      <c r="F25" s="3" t="s">
        <v>555</v>
      </c>
      <c r="G25" s="3" t="s">
        <v>549</v>
      </c>
      <c r="H25" s="8">
        <v>23168</v>
      </c>
      <c r="I25" s="8">
        <v>1265</v>
      </c>
      <c r="J25" s="8">
        <v>441</v>
      </c>
      <c r="K25" s="8">
        <v>1612</v>
      </c>
      <c r="L25" s="7">
        <v>66615</v>
      </c>
      <c r="M25" s="3">
        <v>197795</v>
      </c>
      <c r="N25" s="3" t="s">
        <v>30</v>
      </c>
    </row>
    <row r="26" spans="1:14" ht="14.25" customHeight="1" x14ac:dyDescent="0.3">
      <c r="A26" s="3" t="s">
        <v>75</v>
      </c>
      <c r="B26" s="3" t="s">
        <v>542</v>
      </c>
      <c r="C26" s="6">
        <v>45909</v>
      </c>
      <c r="D26" s="3" t="s">
        <v>28</v>
      </c>
      <c r="E26" s="3" t="s">
        <v>40</v>
      </c>
      <c r="F26" s="3" t="s">
        <v>553</v>
      </c>
      <c r="G26" s="3" t="s">
        <v>554</v>
      </c>
      <c r="H26" s="8">
        <v>15772</v>
      </c>
      <c r="I26" s="8">
        <v>288</v>
      </c>
      <c r="J26" s="8">
        <v>520</v>
      </c>
      <c r="K26" s="8">
        <v>1585</v>
      </c>
      <c r="L26" s="7">
        <v>59182</v>
      </c>
      <c r="M26" s="3">
        <v>194351</v>
      </c>
      <c r="N26" s="3" t="s">
        <v>19</v>
      </c>
    </row>
    <row r="27" spans="1:14" ht="14.25" customHeight="1" x14ac:dyDescent="0.3">
      <c r="A27" s="3" t="s">
        <v>76</v>
      </c>
      <c r="B27" s="3" t="s">
        <v>44</v>
      </c>
      <c r="C27" s="6" t="s">
        <v>77</v>
      </c>
      <c r="D27" s="3" t="s">
        <v>28</v>
      </c>
      <c r="E27" s="3" t="s">
        <v>40</v>
      </c>
      <c r="F27" s="3" t="s">
        <v>553</v>
      </c>
      <c r="G27" s="3" t="s">
        <v>554</v>
      </c>
      <c r="H27" s="8">
        <v>22384</v>
      </c>
      <c r="I27" s="8">
        <v>601</v>
      </c>
      <c r="J27" s="8">
        <v>943</v>
      </c>
      <c r="K27" s="8">
        <v>515</v>
      </c>
      <c r="L27" s="7">
        <v>41309</v>
      </c>
      <c r="M27" s="3">
        <v>249373</v>
      </c>
      <c r="N27" s="3" t="s">
        <v>16</v>
      </c>
    </row>
    <row r="28" spans="1:14" ht="14.25" customHeight="1" x14ac:dyDescent="0.3">
      <c r="A28" s="3" t="s">
        <v>78</v>
      </c>
      <c r="B28" s="3" t="s">
        <v>44</v>
      </c>
      <c r="C28" s="6" t="s">
        <v>79</v>
      </c>
      <c r="D28" s="3" t="s">
        <v>23</v>
      </c>
      <c r="E28" s="3" t="s">
        <v>46</v>
      </c>
      <c r="F28" s="3" t="s">
        <v>555</v>
      </c>
      <c r="G28" s="3" t="s">
        <v>549</v>
      </c>
      <c r="H28" s="8">
        <v>20017</v>
      </c>
      <c r="I28" s="8">
        <v>495</v>
      </c>
      <c r="J28" s="8">
        <v>178</v>
      </c>
      <c r="K28" s="8">
        <v>2683</v>
      </c>
      <c r="L28" s="7">
        <v>32244</v>
      </c>
      <c r="M28" s="3">
        <v>182633</v>
      </c>
      <c r="N28" s="3" t="s">
        <v>16</v>
      </c>
    </row>
    <row r="29" spans="1:14" ht="14.25" customHeight="1" x14ac:dyDescent="0.3">
      <c r="A29" s="3" t="s">
        <v>80</v>
      </c>
      <c r="B29" s="3" t="s">
        <v>44</v>
      </c>
      <c r="C29" s="6" t="s">
        <v>81</v>
      </c>
      <c r="D29" s="3" t="s">
        <v>23</v>
      </c>
      <c r="E29" s="3" t="s">
        <v>33</v>
      </c>
      <c r="F29" s="3" t="s">
        <v>33</v>
      </c>
      <c r="G29" s="3"/>
      <c r="H29" s="8">
        <v>12344</v>
      </c>
      <c r="I29" s="8">
        <v>815</v>
      </c>
      <c r="J29" s="8">
        <v>298</v>
      </c>
      <c r="K29" s="8">
        <v>2439</v>
      </c>
      <c r="L29" s="7">
        <v>6259</v>
      </c>
      <c r="M29" s="3">
        <v>237133</v>
      </c>
      <c r="N29" s="3" t="s">
        <v>30</v>
      </c>
    </row>
    <row r="30" spans="1:14" ht="14.25" customHeight="1" x14ac:dyDescent="0.3">
      <c r="A30" s="3" t="s">
        <v>82</v>
      </c>
      <c r="B30" s="3" t="s">
        <v>542</v>
      </c>
      <c r="C30" s="6">
        <v>45910</v>
      </c>
      <c r="D30" s="3" t="s">
        <v>36</v>
      </c>
      <c r="E30" s="3" t="s">
        <v>83</v>
      </c>
      <c r="F30" s="3" t="s">
        <v>83</v>
      </c>
      <c r="G30" s="3"/>
      <c r="H30" s="8">
        <v>9266</v>
      </c>
      <c r="I30" s="8">
        <v>999</v>
      </c>
      <c r="J30" s="8">
        <v>928</v>
      </c>
      <c r="K30" s="8">
        <v>2700</v>
      </c>
      <c r="L30" s="7">
        <v>12264</v>
      </c>
      <c r="M30" s="3">
        <v>128397</v>
      </c>
      <c r="N30" s="3" t="s">
        <v>19</v>
      </c>
    </row>
    <row r="31" spans="1:14" ht="14.25" customHeight="1" x14ac:dyDescent="0.3">
      <c r="A31" s="3" t="s">
        <v>84</v>
      </c>
      <c r="B31" s="3" t="s">
        <v>542</v>
      </c>
      <c r="C31" s="6" t="s">
        <v>85</v>
      </c>
      <c r="D31" s="3" t="s">
        <v>36</v>
      </c>
      <c r="E31" s="3" t="s">
        <v>68</v>
      </c>
      <c r="F31" s="3" t="s">
        <v>557</v>
      </c>
      <c r="G31" s="3" t="s">
        <v>33</v>
      </c>
      <c r="H31" s="8">
        <v>10702</v>
      </c>
      <c r="I31" s="8">
        <v>621</v>
      </c>
      <c r="J31" s="8">
        <v>445</v>
      </c>
      <c r="K31" s="8">
        <v>2918</v>
      </c>
      <c r="L31" s="7">
        <v>54808</v>
      </c>
      <c r="M31" s="3">
        <v>220225</v>
      </c>
      <c r="N31" s="3" t="s">
        <v>16</v>
      </c>
    </row>
    <row r="32" spans="1:14" ht="14.25" customHeight="1" x14ac:dyDescent="0.3">
      <c r="A32" s="3" t="s">
        <v>86</v>
      </c>
      <c r="B32" s="3" t="s">
        <v>21</v>
      </c>
      <c r="C32" s="6" t="s">
        <v>87</v>
      </c>
      <c r="D32" s="3" t="s">
        <v>14</v>
      </c>
      <c r="E32" s="3" t="s">
        <v>29</v>
      </c>
      <c r="F32" s="3" t="s">
        <v>549</v>
      </c>
      <c r="G32" s="3" t="s">
        <v>550</v>
      </c>
      <c r="H32" s="8">
        <v>2384</v>
      </c>
      <c r="I32" s="8">
        <v>1246</v>
      </c>
      <c r="J32" s="8">
        <v>160</v>
      </c>
      <c r="K32" s="8">
        <v>2004</v>
      </c>
      <c r="L32" s="7">
        <v>2701</v>
      </c>
      <c r="M32" s="3">
        <v>73142</v>
      </c>
      <c r="N32" s="3" t="s">
        <v>16</v>
      </c>
    </row>
    <row r="33" spans="1:14" ht="14.25" customHeight="1" x14ac:dyDescent="0.3">
      <c r="A33" s="3" t="s">
        <v>88</v>
      </c>
      <c r="B33" s="3" t="s">
        <v>21</v>
      </c>
      <c r="C33" s="6" t="s">
        <v>89</v>
      </c>
      <c r="D33" s="3" t="s">
        <v>14</v>
      </c>
      <c r="E33" s="3" t="s">
        <v>60</v>
      </c>
      <c r="F33" s="3" t="s">
        <v>549</v>
      </c>
      <c r="G33" s="3" t="s">
        <v>556</v>
      </c>
      <c r="H33" s="8">
        <v>2404</v>
      </c>
      <c r="I33" s="8">
        <v>774</v>
      </c>
      <c r="J33" s="8">
        <v>661</v>
      </c>
      <c r="K33" s="8">
        <v>662</v>
      </c>
      <c r="L33" s="7">
        <v>12676</v>
      </c>
      <c r="M33" s="3">
        <v>66916</v>
      </c>
      <c r="N33" s="3" t="s">
        <v>16</v>
      </c>
    </row>
    <row r="34" spans="1:14" ht="14.25" customHeight="1" x14ac:dyDescent="0.3">
      <c r="A34" s="3" t="s">
        <v>90</v>
      </c>
      <c r="B34" s="3" t="s">
        <v>542</v>
      </c>
      <c r="C34" s="6">
        <v>45911</v>
      </c>
      <c r="D34" s="3" t="s">
        <v>36</v>
      </c>
      <c r="E34" s="3" t="s">
        <v>46</v>
      </c>
      <c r="F34" s="3" t="s">
        <v>555</v>
      </c>
      <c r="G34" s="3" t="s">
        <v>549</v>
      </c>
      <c r="H34" s="8">
        <v>10175</v>
      </c>
      <c r="I34" s="8">
        <v>342</v>
      </c>
      <c r="J34" s="8">
        <v>825</v>
      </c>
      <c r="K34" s="8">
        <v>2904</v>
      </c>
      <c r="L34" s="7">
        <v>15954</v>
      </c>
      <c r="M34" s="3">
        <v>104324</v>
      </c>
      <c r="N34" s="3" t="s">
        <v>19</v>
      </c>
    </row>
    <row r="35" spans="1:14" ht="14.25" customHeight="1" x14ac:dyDescent="0.3">
      <c r="A35" s="3" t="s">
        <v>91</v>
      </c>
      <c r="B35" s="3" t="s">
        <v>44</v>
      </c>
      <c r="C35" s="6">
        <v>45912</v>
      </c>
      <c r="D35" s="3" t="s">
        <v>23</v>
      </c>
      <c r="E35" s="3" t="s">
        <v>24</v>
      </c>
      <c r="F35" s="3" t="s">
        <v>547</v>
      </c>
      <c r="G35" s="3" t="s">
        <v>548</v>
      </c>
      <c r="H35" s="8">
        <v>17158</v>
      </c>
      <c r="I35" s="8">
        <v>1192</v>
      </c>
      <c r="J35" s="8">
        <v>262</v>
      </c>
      <c r="K35" s="8">
        <v>2016</v>
      </c>
      <c r="L35" s="7">
        <v>28771</v>
      </c>
      <c r="M35" s="3">
        <v>216037</v>
      </c>
      <c r="N35" s="3" t="s">
        <v>19</v>
      </c>
    </row>
    <row r="36" spans="1:14" ht="14.25" customHeight="1" x14ac:dyDescent="0.3">
      <c r="A36" s="3" t="s">
        <v>92</v>
      </c>
      <c r="B36" s="3" t="s">
        <v>44</v>
      </c>
      <c r="C36" s="6" t="s">
        <v>93</v>
      </c>
      <c r="D36" s="3" t="s">
        <v>28</v>
      </c>
      <c r="E36" s="3" t="s">
        <v>60</v>
      </c>
      <c r="F36" s="3" t="s">
        <v>549</v>
      </c>
      <c r="G36" s="3" t="s">
        <v>556</v>
      </c>
      <c r="H36" s="8">
        <v>14763</v>
      </c>
      <c r="I36" s="8">
        <v>864</v>
      </c>
      <c r="J36" s="8">
        <v>336</v>
      </c>
      <c r="K36" s="8">
        <v>1493</v>
      </c>
      <c r="L36" s="7">
        <v>33310</v>
      </c>
      <c r="M36" s="3">
        <v>165932</v>
      </c>
      <c r="N36" s="3" t="s">
        <v>30</v>
      </c>
    </row>
    <row r="37" spans="1:14" ht="14.25" customHeight="1" x14ac:dyDescent="0.3">
      <c r="A37" s="3" t="s">
        <v>94</v>
      </c>
      <c r="B37" s="3" t="s">
        <v>21</v>
      </c>
      <c r="C37" s="6" t="s">
        <v>95</v>
      </c>
      <c r="D37" s="3" t="s">
        <v>36</v>
      </c>
      <c r="E37" s="3" t="s">
        <v>83</v>
      </c>
      <c r="F37" s="3" t="s">
        <v>83</v>
      </c>
      <c r="G37" s="3"/>
      <c r="H37" s="8">
        <v>20384</v>
      </c>
      <c r="I37" s="8">
        <v>344</v>
      </c>
      <c r="J37" s="8">
        <v>956</v>
      </c>
      <c r="K37" s="8">
        <v>655</v>
      </c>
      <c r="L37" s="7">
        <v>67621</v>
      </c>
      <c r="M37" s="3">
        <v>175720</v>
      </c>
      <c r="N37" s="3" t="s">
        <v>25</v>
      </c>
    </row>
    <row r="38" spans="1:14" ht="14.25" customHeight="1" x14ac:dyDescent="0.3">
      <c r="A38" s="3" t="s">
        <v>96</v>
      </c>
      <c r="B38" s="3" t="s">
        <v>542</v>
      </c>
      <c r="C38" s="6" t="s">
        <v>97</v>
      </c>
      <c r="D38" s="3" t="s">
        <v>14</v>
      </c>
      <c r="E38" s="3" t="s">
        <v>24</v>
      </c>
      <c r="F38" s="3" t="s">
        <v>547</v>
      </c>
      <c r="G38" s="3" t="s">
        <v>548</v>
      </c>
      <c r="H38" s="8">
        <v>11860</v>
      </c>
      <c r="I38" s="8">
        <v>1448</v>
      </c>
      <c r="J38" s="8">
        <v>893</v>
      </c>
      <c r="K38" s="8">
        <v>490</v>
      </c>
      <c r="L38" s="7">
        <v>23518</v>
      </c>
      <c r="M38" s="3">
        <v>206205</v>
      </c>
      <c r="N38" s="3" t="s">
        <v>16</v>
      </c>
    </row>
    <row r="39" spans="1:14" ht="14.25" customHeight="1" x14ac:dyDescent="0.3">
      <c r="A39" s="3" t="s">
        <v>98</v>
      </c>
      <c r="B39" s="3" t="s">
        <v>21</v>
      </c>
      <c r="C39" s="6" t="s">
        <v>99</v>
      </c>
      <c r="D39" s="3" t="s">
        <v>23</v>
      </c>
      <c r="E39" s="3" t="s">
        <v>18</v>
      </c>
      <c r="F39" s="3" t="s">
        <v>545</v>
      </c>
      <c r="G39" s="3" t="s">
        <v>546</v>
      </c>
      <c r="H39" s="8">
        <v>7989</v>
      </c>
      <c r="I39" s="8">
        <v>1206</v>
      </c>
      <c r="J39" s="8">
        <v>376</v>
      </c>
      <c r="K39" s="8">
        <v>2769</v>
      </c>
      <c r="L39" s="7">
        <v>27550</v>
      </c>
      <c r="M39" s="3">
        <v>221749</v>
      </c>
      <c r="N39" s="3" t="s">
        <v>25</v>
      </c>
    </row>
    <row r="40" spans="1:14" ht="14.25" customHeight="1" x14ac:dyDescent="0.3">
      <c r="A40" s="3" t="s">
        <v>100</v>
      </c>
      <c r="B40" s="3" t="s">
        <v>21</v>
      </c>
      <c r="C40" s="6">
        <v>45913</v>
      </c>
      <c r="D40" s="3" t="s">
        <v>36</v>
      </c>
      <c r="E40" s="3" t="s">
        <v>37</v>
      </c>
      <c r="F40" s="3" t="s">
        <v>551</v>
      </c>
      <c r="G40" s="3" t="s">
        <v>552</v>
      </c>
      <c r="H40" s="8">
        <v>17106</v>
      </c>
      <c r="I40" s="8">
        <v>702</v>
      </c>
      <c r="J40" s="8">
        <v>459</v>
      </c>
      <c r="K40" s="8">
        <v>999</v>
      </c>
      <c r="L40" s="7">
        <v>59627</v>
      </c>
      <c r="M40" s="3">
        <v>136059</v>
      </c>
      <c r="N40" s="3" t="s">
        <v>19</v>
      </c>
    </row>
    <row r="41" spans="1:14" ht="14.25" customHeight="1" x14ac:dyDescent="0.3">
      <c r="A41" s="3" t="s">
        <v>101</v>
      </c>
      <c r="B41" s="3" t="s">
        <v>541</v>
      </c>
      <c r="C41" s="6">
        <v>45914</v>
      </c>
      <c r="D41" s="3" t="s">
        <v>36</v>
      </c>
      <c r="E41" s="3" t="s">
        <v>40</v>
      </c>
      <c r="F41" s="3" t="s">
        <v>553</v>
      </c>
      <c r="G41" s="3" t="s">
        <v>554</v>
      </c>
      <c r="H41" s="8">
        <v>19844</v>
      </c>
      <c r="I41" s="8">
        <v>1020</v>
      </c>
      <c r="J41" s="8">
        <v>247</v>
      </c>
      <c r="K41" s="8">
        <v>2354</v>
      </c>
      <c r="L41" s="7">
        <v>37792</v>
      </c>
      <c r="M41" s="3">
        <v>138317</v>
      </c>
      <c r="N41" s="3" t="s">
        <v>19</v>
      </c>
    </row>
    <row r="42" spans="1:14" ht="14.25" customHeight="1" x14ac:dyDescent="0.3">
      <c r="A42" s="3" t="s">
        <v>102</v>
      </c>
      <c r="B42" s="3" t="s">
        <v>541</v>
      </c>
      <c r="C42" s="6">
        <v>45915</v>
      </c>
      <c r="D42" s="3" t="s">
        <v>23</v>
      </c>
      <c r="E42" s="3" t="s">
        <v>18</v>
      </c>
      <c r="F42" s="3" t="s">
        <v>545</v>
      </c>
      <c r="G42" s="3" t="s">
        <v>546</v>
      </c>
      <c r="H42" s="8">
        <v>5636</v>
      </c>
      <c r="I42" s="8">
        <v>303</v>
      </c>
      <c r="J42" s="8">
        <v>204</v>
      </c>
      <c r="K42" s="8">
        <v>2480</v>
      </c>
      <c r="L42" s="7">
        <v>7377</v>
      </c>
      <c r="M42" s="3">
        <v>241207</v>
      </c>
      <c r="N42" s="3" t="s">
        <v>19</v>
      </c>
    </row>
    <row r="43" spans="1:14" ht="14.25" customHeight="1" x14ac:dyDescent="0.3">
      <c r="A43" s="3" t="s">
        <v>103</v>
      </c>
      <c r="B43" s="3" t="s">
        <v>541</v>
      </c>
      <c r="C43" s="6" t="s">
        <v>104</v>
      </c>
      <c r="D43" s="3" t="s">
        <v>36</v>
      </c>
      <c r="E43" s="3" t="s">
        <v>60</v>
      </c>
      <c r="F43" s="3" t="s">
        <v>549</v>
      </c>
      <c r="G43" s="3" t="s">
        <v>556</v>
      </c>
      <c r="H43" s="8">
        <v>12916</v>
      </c>
      <c r="I43" s="8">
        <v>1262</v>
      </c>
      <c r="J43" s="8">
        <v>772</v>
      </c>
      <c r="K43" s="8">
        <v>856</v>
      </c>
      <c r="L43" s="7">
        <v>11496</v>
      </c>
      <c r="M43" s="3">
        <v>75046</v>
      </c>
      <c r="N43" s="3" t="s">
        <v>25</v>
      </c>
    </row>
    <row r="44" spans="1:14" ht="14.25" customHeight="1" x14ac:dyDescent="0.3">
      <c r="A44" s="3" t="s">
        <v>105</v>
      </c>
      <c r="B44" s="3" t="s">
        <v>44</v>
      </c>
      <c r="C44" s="6">
        <v>45916</v>
      </c>
      <c r="D44" s="3" t="s">
        <v>23</v>
      </c>
      <c r="E44" s="3" t="s">
        <v>83</v>
      </c>
      <c r="F44" s="3" t="s">
        <v>83</v>
      </c>
      <c r="G44" s="3"/>
      <c r="H44" s="8">
        <v>6809</v>
      </c>
      <c r="I44" s="8">
        <v>397</v>
      </c>
      <c r="J44" s="8">
        <v>813</v>
      </c>
      <c r="K44" s="8">
        <v>1125</v>
      </c>
      <c r="L44" s="7">
        <v>12206</v>
      </c>
      <c r="M44" s="3">
        <v>218136</v>
      </c>
      <c r="N44" s="3" t="s">
        <v>19</v>
      </c>
    </row>
    <row r="45" spans="1:14" ht="14.25" customHeight="1" x14ac:dyDescent="0.3">
      <c r="A45" s="3" t="s">
        <v>106</v>
      </c>
      <c r="B45" s="3" t="s">
        <v>542</v>
      </c>
      <c r="C45" s="6" t="s">
        <v>107</v>
      </c>
      <c r="D45" s="3" t="s">
        <v>28</v>
      </c>
      <c r="E45" s="3" t="s">
        <v>68</v>
      </c>
      <c r="F45" s="3" t="s">
        <v>557</v>
      </c>
      <c r="G45" s="3" t="s">
        <v>33</v>
      </c>
      <c r="H45" s="8">
        <v>22562</v>
      </c>
      <c r="I45" s="8">
        <v>778</v>
      </c>
      <c r="J45" s="8">
        <v>907</v>
      </c>
      <c r="K45" s="8">
        <v>1354</v>
      </c>
      <c r="L45" s="7">
        <v>34475</v>
      </c>
      <c r="M45" s="3">
        <v>141459</v>
      </c>
      <c r="N45" s="3" t="s">
        <v>30</v>
      </c>
    </row>
    <row r="46" spans="1:14" ht="14.25" customHeight="1" x14ac:dyDescent="0.3">
      <c r="A46" s="3" t="s">
        <v>108</v>
      </c>
      <c r="B46" s="3" t="s">
        <v>542</v>
      </c>
      <c r="C46" s="6">
        <v>45917</v>
      </c>
      <c r="D46" s="3" t="s">
        <v>23</v>
      </c>
      <c r="E46" s="3" t="s">
        <v>37</v>
      </c>
      <c r="F46" s="3" t="s">
        <v>551</v>
      </c>
      <c r="G46" s="3" t="s">
        <v>552</v>
      </c>
      <c r="H46" s="8">
        <v>15456</v>
      </c>
      <c r="I46" s="8">
        <v>590</v>
      </c>
      <c r="J46" s="8">
        <v>555</v>
      </c>
      <c r="K46" s="8">
        <v>2882</v>
      </c>
      <c r="L46" s="7">
        <v>49816</v>
      </c>
      <c r="M46" s="3">
        <v>240422</v>
      </c>
      <c r="N46" s="3" t="s">
        <v>19</v>
      </c>
    </row>
    <row r="47" spans="1:14" ht="14.25" customHeight="1" x14ac:dyDescent="0.3">
      <c r="A47" s="3" t="s">
        <v>109</v>
      </c>
      <c r="B47" s="3" t="s">
        <v>542</v>
      </c>
      <c r="C47" s="6" t="s">
        <v>110</v>
      </c>
      <c r="D47" s="3" t="s">
        <v>23</v>
      </c>
      <c r="E47" s="3" t="s">
        <v>60</v>
      </c>
      <c r="F47" s="3" t="s">
        <v>549</v>
      </c>
      <c r="G47" s="3" t="s">
        <v>556</v>
      </c>
      <c r="H47" s="8">
        <v>17444</v>
      </c>
      <c r="I47" s="8">
        <v>1402</v>
      </c>
      <c r="J47" s="8">
        <v>218</v>
      </c>
      <c r="K47" s="8">
        <v>725</v>
      </c>
      <c r="L47" s="7">
        <v>8710</v>
      </c>
      <c r="M47" s="3">
        <v>85893</v>
      </c>
      <c r="N47" s="3" t="s">
        <v>53</v>
      </c>
    </row>
    <row r="48" spans="1:14" ht="14.25" customHeight="1" x14ac:dyDescent="0.3">
      <c r="A48" s="3" t="s">
        <v>111</v>
      </c>
      <c r="B48" s="3" t="s">
        <v>542</v>
      </c>
      <c r="C48" s="6" t="s">
        <v>112</v>
      </c>
      <c r="D48" s="3" t="s">
        <v>23</v>
      </c>
      <c r="E48" s="3" t="s">
        <v>46</v>
      </c>
      <c r="F48" s="3" t="s">
        <v>555</v>
      </c>
      <c r="G48" s="3" t="s">
        <v>549</v>
      </c>
      <c r="H48" s="8">
        <v>24984</v>
      </c>
      <c r="I48" s="8">
        <v>753</v>
      </c>
      <c r="J48" s="8">
        <v>461</v>
      </c>
      <c r="K48" s="8">
        <v>2710</v>
      </c>
      <c r="L48" s="7">
        <v>20792</v>
      </c>
      <c r="M48" s="3">
        <v>141520</v>
      </c>
      <c r="N48" s="3" t="s">
        <v>25</v>
      </c>
    </row>
    <row r="49" spans="1:14" ht="14.25" customHeight="1" x14ac:dyDescent="0.3">
      <c r="A49" s="3" t="s">
        <v>113</v>
      </c>
      <c r="B49" s="3" t="s">
        <v>541</v>
      </c>
      <c r="C49" s="6" t="s">
        <v>45</v>
      </c>
      <c r="D49" s="3" t="s">
        <v>36</v>
      </c>
      <c r="E49" s="3" t="s">
        <v>15</v>
      </c>
      <c r="F49" s="3" t="s">
        <v>543</v>
      </c>
      <c r="G49" s="3" t="s">
        <v>544</v>
      </c>
      <c r="H49" s="8">
        <v>7997</v>
      </c>
      <c r="I49" s="8">
        <v>1238</v>
      </c>
      <c r="J49" s="8">
        <v>438</v>
      </c>
      <c r="K49" s="8">
        <v>1874</v>
      </c>
      <c r="L49" s="7">
        <v>36272</v>
      </c>
      <c r="M49" s="3">
        <v>165818</v>
      </c>
      <c r="N49" s="3" t="s">
        <v>53</v>
      </c>
    </row>
    <row r="50" spans="1:14" ht="14.25" customHeight="1" x14ac:dyDescent="0.3">
      <c r="A50" s="3" t="s">
        <v>114</v>
      </c>
      <c r="B50" s="3" t="s">
        <v>44</v>
      </c>
      <c r="C50" s="6">
        <v>45918</v>
      </c>
      <c r="D50" s="3" t="s">
        <v>36</v>
      </c>
      <c r="E50" s="3" t="s">
        <v>60</v>
      </c>
      <c r="F50" s="3" t="s">
        <v>549</v>
      </c>
      <c r="G50" s="3" t="s">
        <v>556</v>
      </c>
      <c r="H50" s="8">
        <v>4048</v>
      </c>
      <c r="I50" s="8">
        <v>677</v>
      </c>
      <c r="J50" s="8">
        <v>911</v>
      </c>
      <c r="K50" s="8">
        <v>2429</v>
      </c>
      <c r="L50" s="7">
        <v>27361</v>
      </c>
      <c r="M50" s="3">
        <v>101272</v>
      </c>
      <c r="N50" s="3" t="s">
        <v>19</v>
      </c>
    </row>
    <row r="51" spans="1:14" ht="14.25" customHeight="1" x14ac:dyDescent="0.3">
      <c r="A51" s="3" t="s">
        <v>115</v>
      </c>
      <c r="B51" s="3" t="s">
        <v>44</v>
      </c>
      <c r="C51" s="6" t="s">
        <v>116</v>
      </c>
      <c r="D51" s="3" t="s">
        <v>23</v>
      </c>
      <c r="E51" s="3" t="s">
        <v>37</v>
      </c>
      <c r="F51" s="3" t="s">
        <v>551</v>
      </c>
      <c r="G51" s="3" t="s">
        <v>552</v>
      </c>
      <c r="H51" s="8">
        <v>14338</v>
      </c>
      <c r="I51" s="8">
        <v>1454</v>
      </c>
      <c r="J51" s="8">
        <v>697</v>
      </c>
      <c r="K51" s="8">
        <v>2703</v>
      </c>
      <c r="L51" s="7">
        <v>21288</v>
      </c>
      <c r="M51" s="3">
        <v>107649</v>
      </c>
      <c r="N51" s="3" t="s">
        <v>30</v>
      </c>
    </row>
    <row r="52" spans="1:14" ht="14.25" customHeight="1" x14ac:dyDescent="0.3">
      <c r="A52" s="3" t="s">
        <v>117</v>
      </c>
      <c r="B52" s="3" t="s">
        <v>541</v>
      </c>
      <c r="C52" s="6" t="s">
        <v>118</v>
      </c>
      <c r="D52" s="3" t="s">
        <v>36</v>
      </c>
      <c r="E52" s="3" t="s">
        <v>40</v>
      </c>
      <c r="F52" s="3" t="s">
        <v>553</v>
      </c>
      <c r="G52" s="3" t="s">
        <v>554</v>
      </c>
      <c r="H52" s="8">
        <v>23164</v>
      </c>
      <c r="I52" s="8">
        <v>1122</v>
      </c>
      <c r="J52" s="8">
        <v>900</v>
      </c>
      <c r="K52" s="8">
        <v>888</v>
      </c>
      <c r="L52" s="7">
        <v>36938</v>
      </c>
      <c r="M52" s="3">
        <v>104674</v>
      </c>
      <c r="N52" s="3" t="s">
        <v>16</v>
      </c>
    </row>
    <row r="53" spans="1:14" ht="14.25" customHeight="1" x14ac:dyDescent="0.3">
      <c r="A53" s="3" t="s">
        <v>119</v>
      </c>
      <c r="B53" s="3" t="s">
        <v>44</v>
      </c>
      <c r="C53" s="6">
        <v>45919</v>
      </c>
      <c r="D53" s="3" t="s">
        <v>14</v>
      </c>
      <c r="E53" s="3" t="s">
        <v>40</v>
      </c>
      <c r="F53" s="3" t="s">
        <v>553</v>
      </c>
      <c r="G53" s="3" t="s">
        <v>554</v>
      </c>
      <c r="H53" s="8">
        <v>19100</v>
      </c>
      <c r="I53" s="8">
        <v>619</v>
      </c>
      <c r="J53" s="8">
        <v>297</v>
      </c>
      <c r="K53" s="8">
        <v>2312</v>
      </c>
      <c r="L53" s="7">
        <v>9730</v>
      </c>
      <c r="M53" s="3">
        <v>184832</v>
      </c>
      <c r="N53" s="3" t="s">
        <v>19</v>
      </c>
    </row>
    <row r="54" spans="1:14" ht="14.25" customHeight="1" x14ac:dyDescent="0.3">
      <c r="A54" s="3" t="s">
        <v>120</v>
      </c>
      <c r="B54" s="3" t="s">
        <v>541</v>
      </c>
      <c r="C54" s="6" t="s">
        <v>112</v>
      </c>
      <c r="D54" s="3" t="s">
        <v>14</v>
      </c>
      <c r="E54" s="3" t="s">
        <v>60</v>
      </c>
      <c r="F54" s="3" t="s">
        <v>549</v>
      </c>
      <c r="G54" s="3" t="s">
        <v>556</v>
      </c>
      <c r="H54" s="8">
        <v>23949</v>
      </c>
      <c r="I54" s="8">
        <v>356</v>
      </c>
      <c r="J54" s="8">
        <v>616</v>
      </c>
      <c r="K54" s="8">
        <v>1847</v>
      </c>
      <c r="L54" s="7">
        <v>3144</v>
      </c>
      <c r="M54" s="3">
        <v>192999</v>
      </c>
      <c r="N54" s="3" t="s">
        <v>30</v>
      </c>
    </row>
    <row r="55" spans="1:14" ht="14.25" customHeight="1" x14ac:dyDescent="0.3">
      <c r="A55" s="3" t="s">
        <v>121</v>
      </c>
      <c r="B55" s="3" t="s">
        <v>542</v>
      </c>
      <c r="C55" s="6" t="s">
        <v>122</v>
      </c>
      <c r="D55" s="3" t="s">
        <v>36</v>
      </c>
      <c r="E55" s="3" t="s">
        <v>24</v>
      </c>
      <c r="F55" s="3" t="s">
        <v>547</v>
      </c>
      <c r="G55" s="3" t="s">
        <v>548</v>
      </c>
      <c r="H55" s="8">
        <v>6544</v>
      </c>
      <c r="I55" s="8">
        <v>749</v>
      </c>
      <c r="J55" s="8">
        <v>888</v>
      </c>
      <c r="K55" s="8">
        <v>594</v>
      </c>
      <c r="L55" s="7">
        <v>18171</v>
      </c>
      <c r="M55" s="3">
        <v>126475</v>
      </c>
      <c r="N55" s="3" t="s">
        <v>25</v>
      </c>
    </row>
    <row r="56" spans="1:14" ht="14.25" customHeight="1" x14ac:dyDescent="0.3">
      <c r="A56" s="3" t="s">
        <v>123</v>
      </c>
      <c r="B56" s="3" t="s">
        <v>541</v>
      </c>
      <c r="C56" s="6" t="s">
        <v>124</v>
      </c>
      <c r="D56" s="3" t="s">
        <v>36</v>
      </c>
      <c r="E56" s="3" t="s">
        <v>15</v>
      </c>
      <c r="F56" s="3" t="s">
        <v>543</v>
      </c>
      <c r="G56" s="3" t="s">
        <v>544</v>
      </c>
      <c r="H56" s="8">
        <v>6976</v>
      </c>
      <c r="I56" s="8">
        <v>1320</v>
      </c>
      <c r="J56" s="8">
        <v>393</v>
      </c>
      <c r="K56" s="8">
        <v>2285</v>
      </c>
      <c r="L56" s="7">
        <v>14049</v>
      </c>
      <c r="M56" s="3">
        <v>101367</v>
      </c>
      <c r="N56" s="3" t="s">
        <v>53</v>
      </c>
    </row>
    <row r="57" spans="1:14" ht="14.25" customHeight="1" x14ac:dyDescent="0.3">
      <c r="A57" s="3" t="s">
        <v>125</v>
      </c>
      <c r="B57" s="3" t="s">
        <v>542</v>
      </c>
      <c r="C57" s="6" t="s">
        <v>126</v>
      </c>
      <c r="D57" s="3" t="s">
        <v>23</v>
      </c>
      <c r="E57" s="3" t="s">
        <v>46</v>
      </c>
      <c r="F57" s="3" t="s">
        <v>555</v>
      </c>
      <c r="G57" s="3" t="s">
        <v>549</v>
      </c>
      <c r="H57" s="8">
        <v>14775</v>
      </c>
      <c r="I57" s="8">
        <v>1220</v>
      </c>
      <c r="J57" s="8">
        <v>640</v>
      </c>
      <c r="K57" s="8">
        <v>1547</v>
      </c>
      <c r="L57" s="7">
        <v>28527</v>
      </c>
      <c r="M57" s="3">
        <v>183660</v>
      </c>
      <c r="N57" s="3" t="s">
        <v>53</v>
      </c>
    </row>
    <row r="58" spans="1:14" ht="14.25" customHeight="1" x14ac:dyDescent="0.3">
      <c r="A58" s="3" t="s">
        <v>127</v>
      </c>
      <c r="B58" s="3" t="s">
        <v>542</v>
      </c>
      <c r="C58" s="6" t="s">
        <v>128</v>
      </c>
      <c r="D58" s="3" t="s">
        <v>28</v>
      </c>
      <c r="E58" s="3" t="s">
        <v>60</v>
      </c>
      <c r="F58" s="3" t="s">
        <v>549</v>
      </c>
      <c r="G58" s="3" t="s">
        <v>556</v>
      </c>
      <c r="H58" s="8">
        <v>12015</v>
      </c>
      <c r="I58" s="8">
        <v>1196</v>
      </c>
      <c r="J58" s="8">
        <v>998</v>
      </c>
      <c r="K58" s="8">
        <v>1848</v>
      </c>
      <c r="L58" s="7">
        <v>44739</v>
      </c>
      <c r="M58" s="3">
        <v>161750</v>
      </c>
      <c r="N58" s="3" t="s">
        <v>53</v>
      </c>
    </row>
    <row r="59" spans="1:14" ht="14.25" customHeight="1" x14ac:dyDescent="0.3">
      <c r="A59" s="3" t="s">
        <v>129</v>
      </c>
      <c r="B59" s="3" t="s">
        <v>21</v>
      </c>
      <c r="C59" s="6" t="s">
        <v>130</v>
      </c>
      <c r="D59" s="3" t="s">
        <v>36</v>
      </c>
      <c r="E59" s="3" t="s">
        <v>24</v>
      </c>
      <c r="F59" s="3" t="s">
        <v>547</v>
      </c>
      <c r="G59" s="3" t="s">
        <v>548</v>
      </c>
      <c r="H59" s="8">
        <v>5419</v>
      </c>
      <c r="I59" s="8">
        <v>1150</v>
      </c>
      <c r="J59" s="8">
        <v>656</v>
      </c>
      <c r="K59" s="8">
        <v>1990</v>
      </c>
      <c r="L59" s="7">
        <v>410</v>
      </c>
      <c r="M59" s="3">
        <v>158154</v>
      </c>
      <c r="N59" s="3" t="s">
        <v>25</v>
      </c>
    </row>
    <row r="60" spans="1:14" ht="14.25" customHeight="1" x14ac:dyDescent="0.3">
      <c r="A60" s="3" t="s">
        <v>131</v>
      </c>
      <c r="B60" s="3" t="s">
        <v>541</v>
      </c>
      <c r="C60" s="6" t="s">
        <v>132</v>
      </c>
      <c r="D60" s="3" t="s">
        <v>14</v>
      </c>
      <c r="E60" s="3" t="s">
        <v>40</v>
      </c>
      <c r="F60" s="3" t="s">
        <v>553</v>
      </c>
      <c r="G60" s="3" t="s">
        <v>554</v>
      </c>
      <c r="H60" s="8">
        <v>16430</v>
      </c>
      <c r="I60" s="8">
        <v>488</v>
      </c>
      <c r="J60" s="8">
        <v>514</v>
      </c>
      <c r="K60" s="8">
        <v>1436</v>
      </c>
      <c r="L60" s="7">
        <v>30059</v>
      </c>
      <c r="M60" s="3">
        <v>223305</v>
      </c>
      <c r="N60" s="3" t="s">
        <v>30</v>
      </c>
    </row>
    <row r="61" spans="1:14" ht="14.25" customHeight="1" x14ac:dyDescent="0.3">
      <c r="A61" s="3" t="s">
        <v>133</v>
      </c>
      <c r="B61" s="3" t="s">
        <v>21</v>
      </c>
      <c r="C61" s="6" t="s">
        <v>134</v>
      </c>
      <c r="D61" s="3" t="s">
        <v>23</v>
      </c>
      <c r="E61" s="3" t="s">
        <v>40</v>
      </c>
      <c r="F61" s="3" t="s">
        <v>553</v>
      </c>
      <c r="G61" s="3" t="s">
        <v>554</v>
      </c>
      <c r="H61" s="8">
        <v>9239</v>
      </c>
      <c r="I61" s="8">
        <v>1477</v>
      </c>
      <c r="J61" s="8">
        <v>631</v>
      </c>
      <c r="K61" s="8">
        <v>1556</v>
      </c>
      <c r="L61" s="7">
        <v>11580</v>
      </c>
      <c r="M61" s="3">
        <v>84738</v>
      </c>
      <c r="N61" s="3" t="s">
        <v>25</v>
      </c>
    </row>
    <row r="62" spans="1:14" ht="14.25" customHeight="1" x14ac:dyDescent="0.3">
      <c r="A62" s="3" t="s">
        <v>135</v>
      </c>
      <c r="B62" s="3" t="s">
        <v>541</v>
      </c>
      <c r="C62" s="6" t="s">
        <v>136</v>
      </c>
      <c r="D62" s="3" t="s">
        <v>36</v>
      </c>
      <c r="E62" s="3" t="s">
        <v>83</v>
      </c>
      <c r="F62" s="3" t="s">
        <v>83</v>
      </c>
      <c r="G62" s="3"/>
      <c r="H62" s="8">
        <v>16489</v>
      </c>
      <c r="I62" s="8">
        <v>395</v>
      </c>
      <c r="J62" s="8">
        <v>350</v>
      </c>
      <c r="K62" s="8">
        <v>2364</v>
      </c>
      <c r="L62" s="7">
        <v>43239</v>
      </c>
      <c r="M62" s="3">
        <v>73397</v>
      </c>
      <c r="N62" s="3" t="s">
        <v>53</v>
      </c>
    </row>
    <row r="63" spans="1:14" ht="14.25" customHeight="1" x14ac:dyDescent="0.3">
      <c r="A63" s="3" t="s">
        <v>137</v>
      </c>
      <c r="B63" s="3" t="s">
        <v>541</v>
      </c>
      <c r="C63" s="6">
        <v>45920</v>
      </c>
      <c r="D63" s="3" t="s">
        <v>14</v>
      </c>
      <c r="E63" s="3" t="s">
        <v>60</v>
      </c>
      <c r="F63" s="3" t="s">
        <v>549</v>
      </c>
      <c r="G63" s="3" t="s">
        <v>556</v>
      </c>
      <c r="H63" s="8">
        <v>18633</v>
      </c>
      <c r="I63" s="8">
        <v>797</v>
      </c>
      <c r="J63" s="8">
        <v>303</v>
      </c>
      <c r="K63" s="8">
        <v>659</v>
      </c>
      <c r="L63" s="7">
        <v>7</v>
      </c>
      <c r="M63" s="3">
        <v>122189</v>
      </c>
      <c r="N63" s="3" t="s">
        <v>19</v>
      </c>
    </row>
    <row r="64" spans="1:14" ht="14.25" customHeight="1" x14ac:dyDescent="0.3">
      <c r="A64" s="3" t="s">
        <v>138</v>
      </c>
      <c r="B64" s="3" t="s">
        <v>21</v>
      </c>
      <c r="C64" s="6" t="s">
        <v>89</v>
      </c>
      <c r="D64" s="3" t="s">
        <v>14</v>
      </c>
      <c r="E64" s="3" t="s">
        <v>15</v>
      </c>
      <c r="F64" s="3" t="s">
        <v>543</v>
      </c>
      <c r="G64" s="3" t="s">
        <v>544</v>
      </c>
      <c r="H64" s="8">
        <v>12357</v>
      </c>
      <c r="I64" s="8">
        <v>716</v>
      </c>
      <c r="J64" s="8">
        <v>599</v>
      </c>
      <c r="K64" s="8">
        <v>999</v>
      </c>
      <c r="L64" s="7">
        <v>89591</v>
      </c>
      <c r="M64" s="3">
        <v>116367</v>
      </c>
      <c r="N64" s="3" t="s">
        <v>16</v>
      </c>
    </row>
    <row r="65" spans="1:14" ht="14.25" customHeight="1" x14ac:dyDescent="0.3">
      <c r="A65" s="3" t="s">
        <v>139</v>
      </c>
      <c r="B65" s="3" t="s">
        <v>21</v>
      </c>
      <c r="C65" s="6" t="s">
        <v>140</v>
      </c>
      <c r="D65" s="3" t="s">
        <v>28</v>
      </c>
      <c r="E65" s="3" t="s">
        <v>33</v>
      </c>
      <c r="F65" s="3" t="s">
        <v>33</v>
      </c>
      <c r="G65" s="3"/>
      <c r="H65" s="8">
        <v>19154</v>
      </c>
      <c r="I65" s="8">
        <v>1064</v>
      </c>
      <c r="J65" s="8">
        <v>650</v>
      </c>
      <c r="K65" s="8">
        <v>747</v>
      </c>
      <c r="L65" s="7">
        <v>42667</v>
      </c>
      <c r="M65" s="3">
        <v>242332</v>
      </c>
      <c r="N65" s="3" t="s">
        <v>25</v>
      </c>
    </row>
    <row r="66" spans="1:14" ht="14.25" customHeight="1" x14ac:dyDescent="0.3">
      <c r="A66" s="3" t="s">
        <v>141</v>
      </c>
      <c r="B66" s="3" t="s">
        <v>541</v>
      </c>
      <c r="C66" s="6" t="s">
        <v>142</v>
      </c>
      <c r="D66" s="3" t="s">
        <v>23</v>
      </c>
      <c r="E66" s="3" t="s">
        <v>15</v>
      </c>
      <c r="F66" s="3" t="s">
        <v>543</v>
      </c>
      <c r="G66" s="3" t="s">
        <v>544</v>
      </c>
      <c r="H66" s="8">
        <v>6363</v>
      </c>
      <c r="I66" s="8">
        <v>1341</v>
      </c>
      <c r="J66" s="8">
        <v>222</v>
      </c>
      <c r="K66" s="8">
        <v>2712</v>
      </c>
      <c r="L66" s="7">
        <v>19987</v>
      </c>
      <c r="M66" s="3">
        <v>160585</v>
      </c>
      <c r="N66" s="3" t="s">
        <v>25</v>
      </c>
    </row>
    <row r="67" spans="1:14" ht="14.25" customHeight="1" x14ac:dyDescent="0.3">
      <c r="A67" s="3" t="s">
        <v>143</v>
      </c>
      <c r="B67" s="3" t="s">
        <v>44</v>
      </c>
      <c r="C67" s="6" t="s">
        <v>144</v>
      </c>
      <c r="D67" s="3" t="s">
        <v>23</v>
      </c>
      <c r="E67" s="3" t="s">
        <v>40</v>
      </c>
      <c r="F67" s="3" t="s">
        <v>553</v>
      </c>
      <c r="G67" s="3" t="s">
        <v>554</v>
      </c>
      <c r="H67" s="8">
        <v>12176</v>
      </c>
      <c r="I67" s="8">
        <v>1005</v>
      </c>
      <c r="J67" s="8">
        <v>862</v>
      </c>
      <c r="K67" s="8">
        <v>974</v>
      </c>
      <c r="L67" s="7">
        <v>2285</v>
      </c>
      <c r="M67" s="3">
        <v>116619</v>
      </c>
      <c r="N67" s="3" t="s">
        <v>30</v>
      </c>
    </row>
    <row r="68" spans="1:14" ht="14.25" customHeight="1" x14ac:dyDescent="0.3">
      <c r="A68" s="3" t="s">
        <v>145</v>
      </c>
      <c r="B68" s="3" t="s">
        <v>542</v>
      </c>
      <c r="C68" s="6" t="s">
        <v>146</v>
      </c>
      <c r="D68" s="3" t="s">
        <v>28</v>
      </c>
      <c r="E68" s="3" t="s">
        <v>40</v>
      </c>
      <c r="F68" s="3" t="s">
        <v>553</v>
      </c>
      <c r="G68" s="3" t="s">
        <v>554</v>
      </c>
      <c r="H68" s="8">
        <v>19461</v>
      </c>
      <c r="I68" s="8">
        <v>1382</v>
      </c>
      <c r="J68" s="8">
        <v>445</v>
      </c>
      <c r="K68" s="8">
        <v>1307</v>
      </c>
      <c r="L68" s="7">
        <v>84691</v>
      </c>
      <c r="M68" s="3">
        <v>151453</v>
      </c>
      <c r="N68" s="3" t="s">
        <v>30</v>
      </c>
    </row>
    <row r="69" spans="1:14" ht="14.25" customHeight="1" x14ac:dyDescent="0.3">
      <c r="A69" s="3" t="s">
        <v>147</v>
      </c>
      <c r="B69" s="3" t="s">
        <v>21</v>
      </c>
      <c r="C69" s="6" t="s">
        <v>148</v>
      </c>
      <c r="D69" s="3" t="s">
        <v>28</v>
      </c>
      <c r="E69" s="3" t="s">
        <v>18</v>
      </c>
      <c r="F69" s="3" t="s">
        <v>545</v>
      </c>
      <c r="G69" s="3" t="s">
        <v>546</v>
      </c>
      <c r="H69" s="8">
        <v>10427</v>
      </c>
      <c r="I69" s="8">
        <v>1014</v>
      </c>
      <c r="J69" s="8">
        <v>166</v>
      </c>
      <c r="K69" s="8">
        <v>1649</v>
      </c>
      <c r="L69" s="7">
        <v>15145</v>
      </c>
      <c r="M69" s="3">
        <v>59816</v>
      </c>
      <c r="N69" s="3" t="s">
        <v>25</v>
      </c>
    </row>
    <row r="70" spans="1:14" ht="14.25" customHeight="1" x14ac:dyDescent="0.3">
      <c r="A70" s="3" t="s">
        <v>149</v>
      </c>
      <c r="B70" s="3" t="s">
        <v>542</v>
      </c>
      <c r="C70" s="6" t="s">
        <v>150</v>
      </c>
      <c r="D70" s="3" t="s">
        <v>23</v>
      </c>
      <c r="E70" s="3" t="s">
        <v>40</v>
      </c>
      <c r="F70" s="3" t="s">
        <v>553</v>
      </c>
      <c r="G70" s="3" t="s">
        <v>554</v>
      </c>
      <c r="H70" s="8">
        <v>10580</v>
      </c>
      <c r="I70" s="8">
        <v>427</v>
      </c>
      <c r="J70" s="8">
        <v>790</v>
      </c>
      <c r="K70" s="8">
        <v>2814</v>
      </c>
      <c r="L70" s="7">
        <v>24916</v>
      </c>
      <c r="M70" s="3">
        <v>213312</v>
      </c>
      <c r="N70" s="3" t="s">
        <v>53</v>
      </c>
    </row>
    <row r="71" spans="1:14" ht="14.25" customHeight="1" x14ac:dyDescent="0.3">
      <c r="A71" s="3" t="s">
        <v>151</v>
      </c>
      <c r="B71" s="3" t="s">
        <v>44</v>
      </c>
      <c r="C71" s="6" t="s">
        <v>152</v>
      </c>
      <c r="D71" s="3" t="s">
        <v>23</v>
      </c>
      <c r="E71" s="3" t="s">
        <v>46</v>
      </c>
      <c r="F71" s="3" t="s">
        <v>555</v>
      </c>
      <c r="G71" s="3" t="s">
        <v>549</v>
      </c>
      <c r="H71" s="8">
        <v>6858</v>
      </c>
      <c r="I71" s="8">
        <v>415</v>
      </c>
      <c r="J71" s="8">
        <v>366</v>
      </c>
      <c r="K71" s="8">
        <v>2761</v>
      </c>
      <c r="L71" s="7">
        <v>2988</v>
      </c>
      <c r="M71" s="3">
        <v>177348</v>
      </c>
      <c r="N71" s="3" t="s">
        <v>16</v>
      </c>
    </row>
    <row r="72" spans="1:14" ht="14.25" customHeight="1" x14ac:dyDescent="0.3">
      <c r="A72" s="3" t="s">
        <v>153</v>
      </c>
      <c r="B72" s="3" t="s">
        <v>44</v>
      </c>
      <c r="C72" s="6" t="s">
        <v>154</v>
      </c>
      <c r="D72" s="3" t="s">
        <v>36</v>
      </c>
      <c r="E72" s="3" t="s">
        <v>29</v>
      </c>
      <c r="F72" s="3" t="s">
        <v>549</v>
      </c>
      <c r="G72" s="3" t="s">
        <v>550</v>
      </c>
      <c r="H72" s="8">
        <v>12040</v>
      </c>
      <c r="I72" s="8">
        <v>1147</v>
      </c>
      <c r="J72" s="8">
        <v>210</v>
      </c>
      <c r="K72" s="8">
        <v>885</v>
      </c>
      <c r="L72" s="7">
        <v>30360</v>
      </c>
      <c r="M72" s="3">
        <v>119530</v>
      </c>
      <c r="N72" s="3" t="s">
        <v>30</v>
      </c>
    </row>
    <row r="73" spans="1:14" ht="14.25" customHeight="1" x14ac:dyDescent="0.3">
      <c r="A73" s="3" t="s">
        <v>155</v>
      </c>
      <c r="B73" s="3" t="s">
        <v>44</v>
      </c>
      <c r="C73" s="6" t="s">
        <v>156</v>
      </c>
      <c r="D73" s="3" t="s">
        <v>36</v>
      </c>
      <c r="E73" s="3" t="s">
        <v>60</v>
      </c>
      <c r="F73" s="3" t="s">
        <v>549</v>
      </c>
      <c r="G73" s="3" t="s">
        <v>556</v>
      </c>
      <c r="H73" s="8">
        <v>24928</v>
      </c>
      <c r="I73" s="8">
        <v>214</v>
      </c>
      <c r="J73" s="8">
        <v>765</v>
      </c>
      <c r="K73" s="8">
        <v>1556</v>
      </c>
      <c r="L73" s="7">
        <v>5239</v>
      </c>
      <c r="M73" s="3">
        <v>194571</v>
      </c>
      <c r="N73" s="3" t="s">
        <v>53</v>
      </c>
    </row>
    <row r="74" spans="1:14" ht="14.25" customHeight="1" x14ac:dyDescent="0.3">
      <c r="A74" s="3" t="s">
        <v>157</v>
      </c>
      <c r="B74" s="3" t="s">
        <v>21</v>
      </c>
      <c r="C74" s="6">
        <v>45921</v>
      </c>
      <c r="D74" s="3" t="s">
        <v>28</v>
      </c>
      <c r="E74" s="3" t="s">
        <v>15</v>
      </c>
      <c r="F74" s="3" t="s">
        <v>543</v>
      </c>
      <c r="G74" s="3" t="s">
        <v>544</v>
      </c>
      <c r="H74" s="8">
        <v>23103</v>
      </c>
      <c r="I74" s="8">
        <v>1380</v>
      </c>
      <c r="J74" s="8">
        <v>191</v>
      </c>
      <c r="K74" s="8">
        <v>1547</v>
      </c>
      <c r="L74" s="7">
        <v>77798</v>
      </c>
      <c r="M74" s="3">
        <v>148856</v>
      </c>
      <c r="N74" s="3" t="s">
        <v>19</v>
      </c>
    </row>
    <row r="75" spans="1:14" ht="14.25" customHeight="1" x14ac:dyDescent="0.3">
      <c r="A75" s="3" t="s">
        <v>158</v>
      </c>
      <c r="B75" s="3" t="s">
        <v>44</v>
      </c>
      <c r="C75" s="6" t="s">
        <v>159</v>
      </c>
      <c r="D75" s="3" t="s">
        <v>36</v>
      </c>
      <c r="E75" s="3" t="s">
        <v>29</v>
      </c>
      <c r="F75" s="3" t="s">
        <v>549</v>
      </c>
      <c r="G75" s="3" t="s">
        <v>550</v>
      </c>
      <c r="H75" s="8">
        <v>21198</v>
      </c>
      <c r="I75" s="8">
        <v>1484</v>
      </c>
      <c r="J75" s="8">
        <v>174</v>
      </c>
      <c r="K75" s="8">
        <v>1293</v>
      </c>
      <c r="L75" s="7">
        <v>16330</v>
      </c>
      <c r="M75" s="3">
        <v>111635</v>
      </c>
      <c r="N75" s="3" t="s">
        <v>30</v>
      </c>
    </row>
    <row r="76" spans="1:14" ht="14.25" customHeight="1" x14ac:dyDescent="0.3">
      <c r="A76" s="3" t="s">
        <v>160</v>
      </c>
      <c r="B76" s="3" t="s">
        <v>21</v>
      </c>
      <c r="C76" s="6" t="s">
        <v>161</v>
      </c>
      <c r="D76" s="3" t="s">
        <v>14</v>
      </c>
      <c r="E76" s="3" t="s">
        <v>24</v>
      </c>
      <c r="F76" s="3" t="s">
        <v>547</v>
      </c>
      <c r="G76" s="3" t="s">
        <v>548</v>
      </c>
      <c r="H76" s="8">
        <v>21758</v>
      </c>
      <c r="I76" s="8">
        <v>1380</v>
      </c>
      <c r="J76" s="8">
        <v>188</v>
      </c>
      <c r="K76" s="8">
        <v>1735</v>
      </c>
      <c r="L76" s="7">
        <v>20998</v>
      </c>
      <c r="M76" s="3">
        <v>147803</v>
      </c>
      <c r="N76" s="3" t="s">
        <v>53</v>
      </c>
    </row>
    <row r="77" spans="1:14" ht="14.25" customHeight="1" x14ac:dyDescent="0.3">
      <c r="A77" s="3" t="s">
        <v>162</v>
      </c>
      <c r="B77" s="3" t="s">
        <v>44</v>
      </c>
      <c r="C77" s="6" t="s">
        <v>163</v>
      </c>
      <c r="D77" s="3" t="s">
        <v>36</v>
      </c>
      <c r="E77" s="3" t="s">
        <v>33</v>
      </c>
      <c r="F77" s="3" t="s">
        <v>33</v>
      </c>
      <c r="G77" s="3"/>
      <c r="H77" s="8">
        <v>17254</v>
      </c>
      <c r="I77" s="8">
        <v>246</v>
      </c>
      <c r="J77" s="8">
        <v>952</v>
      </c>
      <c r="K77" s="8">
        <v>871</v>
      </c>
      <c r="L77" s="7">
        <v>14957</v>
      </c>
      <c r="M77" s="3">
        <v>75946</v>
      </c>
      <c r="N77" s="3" t="s">
        <v>53</v>
      </c>
    </row>
    <row r="78" spans="1:14" ht="14.25" customHeight="1" x14ac:dyDescent="0.3">
      <c r="A78" s="3" t="s">
        <v>164</v>
      </c>
      <c r="B78" s="3" t="s">
        <v>542</v>
      </c>
      <c r="C78" s="6" t="s">
        <v>81</v>
      </c>
      <c r="D78" s="3" t="s">
        <v>36</v>
      </c>
      <c r="E78" s="3" t="s">
        <v>46</v>
      </c>
      <c r="F78" s="3" t="s">
        <v>555</v>
      </c>
      <c r="G78" s="3" t="s">
        <v>549</v>
      </c>
      <c r="H78" s="8">
        <v>13470</v>
      </c>
      <c r="I78" s="8">
        <v>523</v>
      </c>
      <c r="J78" s="8">
        <v>280</v>
      </c>
      <c r="K78" s="8">
        <v>2682</v>
      </c>
      <c r="L78" s="7">
        <v>8538</v>
      </c>
      <c r="M78" s="3">
        <v>95204</v>
      </c>
      <c r="N78" s="3" t="s">
        <v>16</v>
      </c>
    </row>
    <row r="79" spans="1:14" ht="14.25" customHeight="1" x14ac:dyDescent="0.3">
      <c r="A79" s="3" t="s">
        <v>165</v>
      </c>
      <c r="B79" s="3" t="s">
        <v>542</v>
      </c>
      <c r="C79" s="6" t="s">
        <v>124</v>
      </c>
      <c r="D79" s="3" t="s">
        <v>14</v>
      </c>
      <c r="E79" s="3" t="s">
        <v>37</v>
      </c>
      <c r="F79" s="3" t="s">
        <v>551</v>
      </c>
      <c r="G79" s="3" t="s">
        <v>552</v>
      </c>
      <c r="H79" s="8">
        <v>3252</v>
      </c>
      <c r="I79" s="8">
        <v>1043</v>
      </c>
      <c r="J79" s="8">
        <v>647</v>
      </c>
      <c r="K79" s="8">
        <v>1545</v>
      </c>
      <c r="L79" s="7">
        <v>18859</v>
      </c>
      <c r="M79" s="3">
        <v>222958</v>
      </c>
      <c r="N79" s="3" t="s">
        <v>16</v>
      </c>
    </row>
    <row r="80" spans="1:14" ht="14.25" customHeight="1" x14ac:dyDescent="0.3">
      <c r="A80" s="3" t="s">
        <v>166</v>
      </c>
      <c r="B80" s="3" t="s">
        <v>541</v>
      </c>
      <c r="C80" s="6">
        <v>45922</v>
      </c>
      <c r="D80" s="3" t="s">
        <v>28</v>
      </c>
      <c r="E80" s="3" t="s">
        <v>167</v>
      </c>
      <c r="F80" s="3" t="s">
        <v>558</v>
      </c>
      <c r="G80" s="3" t="s">
        <v>559</v>
      </c>
      <c r="H80" s="8">
        <v>8996</v>
      </c>
      <c r="I80" s="8">
        <v>329</v>
      </c>
      <c r="J80" s="8">
        <v>378</v>
      </c>
      <c r="K80" s="8">
        <v>2384</v>
      </c>
      <c r="L80" s="7">
        <v>39404</v>
      </c>
      <c r="M80" s="3">
        <v>242724</v>
      </c>
      <c r="N80" s="3" t="s">
        <v>19</v>
      </c>
    </row>
    <row r="81" spans="1:14" ht="14.25" customHeight="1" x14ac:dyDescent="0.3">
      <c r="A81" s="3" t="s">
        <v>168</v>
      </c>
      <c r="B81" s="3" t="s">
        <v>542</v>
      </c>
      <c r="C81" s="6" t="s">
        <v>118</v>
      </c>
      <c r="D81" s="3" t="s">
        <v>14</v>
      </c>
      <c r="E81" s="3" t="s">
        <v>15</v>
      </c>
      <c r="F81" s="3" t="s">
        <v>543</v>
      </c>
      <c r="G81" s="3" t="s">
        <v>544</v>
      </c>
      <c r="H81" s="8">
        <v>14173</v>
      </c>
      <c r="I81" s="8">
        <v>294</v>
      </c>
      <c r="J81" s="8">
        <v>257</v>
      </c>
      <c r="K81" s="8">
        <v>1288</v>
      </c>
      <c r="L81" s="7">
        <v>39466</v>
      </c>
      <c r="M81" s="3">
        <v>55563</v>
      </c>
      <c r="N81" s="3" t="s">
        <v>53</v>
      </c>
    </row>
    <row r="82" spans="1:14" ht="14.25" customHeight="1" x14ac:dyDescent="0.3">
      <c r="A82" s="3" t="s">
        <v>169</v>
      </c>
      <c r="B82" s="3" t="s">
        <v>541</v>
      </c>
      <c r="C82" s="6" t="s">
        <v>170</v>
      </c>
      <c r="D82" s="3" t="s">
        <v>36</v>
      </c>
      <c r="E82" s="3" t="s">
        <v>29</v>
      </c>
      <c r="F82" s="3" t="s">
        <v>549</v>
      </c>
      <c r="G82" s="3" t="s">
        <v>550</v>
      </c>
      <c r="H82" s="8">
        <v>6673</v>
      </c>
      <c r="I82" s="8">
        <v>826</v>
      </c>
      <c r="J82" s="8">
        <v>321</v>
      </c>
      <c r="K82" s="8">
        <v>577</v>
      </c>
      <c r="L82" s="7">
        <v>19262</v>
      </c>
      <c r="M82" s="3">
        <v>132324</v>
      </c>
      <c r="N82" s="3" t="s">
        <v>53</v>
      </c>
    </row>
    <row r="83" spans="1:14" ht="14.25" customHeight="1" x14ac:dyDescent="0.3">
      <c r="A83" s="3" t="s">
        <v>171</v>
      </c>
      <c r="B83" s="3" t="s">
        <v>542</v>
      </c>
      <c r="C83" s="6" t="s">
        <v>172</v>
      </c>
      <c r="D83" s="3" t="s">
        <v>28</v>
      </c>
      <c r="E83" s="3" t="s">
        <v>37</v>
      </c>
      <c r="F83" s="3" t="s">
        <v>551</v>
      </c>
      <c r="G83" s="3" t="s">
        <v>552</v>
      </c>
      <c r="H83" s="8">
        <v>22914</v>
      </c>
      <c r="I83" s="8">
        <v>954</v>
      </c>
      <c r="J83" s="8">
        <v>584</v>
      </c>
      <c r="K83" s="8">
        <v>1519</v>
      </c>
      <c r="L83" s="7">
        <v>13637</v>
      </c>
      <c r="M83" s="3">
        <v>49847</v>
      </c>
      <c r="N83" s="3" t="s">
        <v>16</v>
      </c>
    </row>
    <row r="84" spans="1:14" ht="14.25" customHeight="1" x14ac:dyDescent="0.3">
      <c r="A84" s="3" t="s">
        <v>173</v>
      </c>
      <c r="B84" s="3" t="s">
        <v>21</v>
      </c>
      <c r="C84" s="6" t="s">
        <v>174</v>
      </c>
      <c r="D84" s="3" t="s">
        <v>36</v>
      </c>
      <c r="E84" s="3" t="s">
        <v>33</v>
      </c>
      <c r="F84" s="3" t="s">
        <v>33</v>
      </c>
      <c r="G84" s="3"/>
      <c r="H84" s="8">
        <v>17781</v>
      </c>
      <c r="I84" s="8">
        <v>993</v>
      </c>
      <c r="J84" s="8">
        <v>627</v>
      </c>
      <c r="K84" s="8">
        <v>2187</v>
      </c>
      <c r="L84" s="7">
        <v>9609</v>
      </c>
      <c r="M84" s="3">
        <v>66155</v>
      </c>
      <c r="N84" s="3" t="s">
        <v>30</v>
      </c>
    </row>
    <row r="85" spans="1:14" ht="14.25" customHeight="1" x14ac:dyDescent="0.3">
      <c r="A85" s="3" t="s">
        <v>175</v>
      </c>
      <c r="B85" s="3" t="s">
        <v>542</v>
      </c>
      <c r="C85" s="6" t="s">
        <v>176</v>
      </c>
      <c r="D85" s="3" t="s">
        <v>14</v>
      </c>
      <c r="E85" s="3" t="s">
        <v>18</v>
      </c>
      <c r="F85" s="3" t="s">
        <v>545</v>
      </c>
      <c r="G85" s="3" t="s">
        <v>546</v>
      </c>
      <c r="H85" s="8">
        <v>15051</v>
      </c>
      <c r="I85" s="8">
        <v>268</v>
      </c>
      <c r="J85" s="8">
        <v>251</v>
      </c>
      <c r="K85" s="8">
        <v>783</v>
      </c>
      <c r="L85" s="7">
        <v>34154</v>
      </c>
      <c r="M85" s="3">
        <v>119671</v>
      </c>
      <c r="N85" s="3" t="s">
        <v>30</v>
      </c>
    </row>
    <row r="86" spans="1:14" ht="14.25" customHeight="1" x14ac:dyDescent="0.3">
      <c r="A86" s="3" t="s">
        <v>177</v>
      </c>
      <c r="B86" s="3" t="s">
        <v>541</v>
      </c>
      <c r="C86" s="6" t="s">
        <v>95</v>
      </c>
      <c r="D86" s="3" t="s">
        <v>14</v>
      </c>
      <c r="E86" s="3" t="s">
        <v>37</v>
      </c>
      <c r="F86" s="3" t="s">
        <v>551</v>
      </c>
      <c r="G86" s="3" t="s">
        <v>552</v>
      </c>
      <c r="H86" s="8">
        <v>8881</v>
      </c>
      <c r="I86" s="8">
        <v>210</v>
      </c>
      <c r="J86" s="8">
        <v>673</v>
      </c>
      <c r="K86" s="8">
        <v>1565</v>
      </c>
      <c r="L86" s="7">
        <v>24847</v>
      </c>
      <c r="M86" s="3">
        <v>156891</v>
      </c>
      <c r="N86" s="3" t="s">
        <v>25</v>
      </c>
    </row>
    <row r="87" spans="1:14" ht="14.25" customHeight="1" x14ac:dyDescent="0.3">
      <c r="A87" s="3" t="s">
        <v>178</v>
      </c>
      <c r="B87" s="3" t="s">
        <v>541</v>
      </c>
      <c r="C87" s="6" t="s">
        <v>179</v>
      </c>
      <c r="D87" s="3" t="s">
        <v>36</v>
      </c>
      <c r="E87" s="3" t="s">
        <v>46</v>
      </c>
      <c r="F87" s="3" t="s">
        <v>555</v>
      </c>
      <c r="G87" s="3" t="s">
        <v>549</v>
      </c>
      <c r="H87" s="8">
        <v>8949</v>
      </c>
      <c r="I87" s="8">
        <v>1477</v>
      </c>
      <c r="J87" s="8">
        <v>424</v>
      </c>
      <c r="K87" s="8">
        <v>1030</v>
      </c>
      <c r="L87" s="7">
        <v>58052</v>
      </c>
      <c r="M87" s="3">
        <v>123310</v>
      </c>
      <c r="N87" s="3" t="s">
        <v>16</v>
      </c>
    </row>
    <row r="88" spans="1:14" ht="14.25" customHeight="1" x14ac:dyDescent="0.3">
      <c r="A88" s="3" t="s">
        <v>180</v>
      </c>
      <c r="B88" s="3" t="s">
        <v>44</v>
      </c>
      <c r="C88" s="6" t="s">
        <v>181</v>
      </c>
      <c r="D88" s="3" t="s">
        <v>23</v>
      </c>
      <c r="E88" s="3" t="s">
        <v>46</v>
      </c>
      <c r="F88" s="3" t="s">
        <v>555</v>
      </c>
      <c r="G88" s="3" t="s">
        <v>549</v>
      </c>
      <c r="H88" s="8">
        <v>11521</v>
      </c>
      <c r="I88" s="8">
        <v>1071</v>
      </c>
      <c r="J88" s="8">
        <v>762</v>
      </c>
      <c r="K88" s="8">
        <v>2539</v>
      </c>
      <c r="L88" s="7">
        <v>12701</v>
      </c>
      <c r="M88" s="3">
        <v>238350</v>
      </c>
      <c r="N88" s="3" t="s">
        <v>25</v>
      </c>
    </row>
    <row r="89" spans="1:14" ht="14.25" customHeight="1" x14ac:dyDescent="0.3">
      <c r="A89" s="3" t="s">
        <v>182</v>
      </c>
      <c r="B89" s="3" t="s">
        <v>21</v>
      </c>
      <c r="C89" s="6" t="s">
        <v>183</v>
      </c>
      <c r="D89" s="3" t="s">
        <v>23</v>
      </c>
      <c r="E89" s="3" t="s">
        <v>18</v>
      </c>
      <c r="F89" s="3" t="s">
        <v>545</v>
      </c>
      <c r="G89" s="3" t="s">
        <v>546</v>
      </c>
      <c r="H89" s="8">
        <v>24625</v>
      </c>
      <c r="I89" s="8">
        <v>749</v>
      </c>
      <c r="J89" s="8">
        <v>193</v>
      </c>
      <c r="K89" s="8">
        <v>1340</v>
      </c>
      <c r="L89" s="7">
        <v>4890</v>
      </c>
      <c r="M89" s="3">
        <v>189381</v>
      </c>
      <c r="N89" s="3" t="s">
        <v>16</v>
      </c>
    </row>
    <row r="90" spans="1:14" ht="14.25" customHeight="1" x14ac:dyDescent="0.3">
      <c r="A90" s="3" t="s">
        <v>184</v>
      </c>
      <c r="B90" s="3" t="s">
        <v>542</v>
      </c>
      <c r="C90" s="6">
        <v>45923</v>
      </c>
      <c r="D90" s="3" t="s">
        <v>14</v>
      </c>
      <c r="E90" s="3" t="s">
        <v>167</v>
      </c>
      <c r="F90" s="3" t="s">
        <v>558</v>
      </c>
      <c r="G90" s="3" t="s">
        <v>559</v>
      </c>
      <c r="H90" s="8">
        <v>10017</v>
      </c>
      <c r="I90" s="8">
        <v>1357</v>
      </c>
      <c r="J90" s="8">
        <v>966</v>
      </c>
      <c r="K90" s="8">
        <v>2871</v>
      </c>
      <c r="L90" s="7">
        <v>14800</v>
      </c>
      <c r="M90" s="3">
        <v>171691</v>
      </c>
      <c r="N90" s="3" t="s">
        <v>19</v>
      </c>
    </row>
    <row r="91" spans="1:14" ht="14.25" customHeight="1" x14ac:dyDescent="0.3">
      <c r="A91" s="3" t="s">
        <v>185</v>
      </c>
      <c r="B91" s="3" t="s">
        <v>44</v>
      </c>
      <c r="C91" s="6" t="s">
        <v>186</v>
      </c>
      <c r="D91" s="3" t="s">
        <v>14</v>
      </c>
      <c r="E91" s="3" t="s">
        <v>60</v>
      </c>
      <c r="F91" s="3" t="s">
        <v>549</v>
      </c>
      <c r="G91" s="3" t="s">
        <v>556</v>
      </c>
      <c r="H91" s="8">
        <v>8941</v>
      </c>
      <c r="I91" s="8">
        <v>911</v>
      </c>
      <c r="J91" s="8">
        <v>166</v>
      </c>
      <c r="K91" s="8">
        <v>1217</v>
      </c>
      <c r="L91" s="7">
        <v>68817</v>
      </c>
      <c r="M91" s="3">
        <v>221180</v>
      </c>
      <c r="N91" s="3" t="s">
        <v>53</v>
      </c>
    </row>
    <row r="92" spans="1:14" ht="14.25" customHeight="1" x14ac:dyDescent="0.3">
      <c r="A92" s="3" t="s">
        <v>187</v>
      </c>
      <c r="B92" s="3" t="s">
        <v>542</v>
      </c>
      <c r="C92" s="6">
        <v>45924</v>
      </c>
      <c r="D92" s="3" t="s">
        <v>23</v>
      </c>
      <c r="E92" s="3" t="s">
        <v>37</v>
      </c>
      <c r="F92" s="3" t="s">
        <v>551</v>
      </c>
      <c r="G92" s="3" t="s">
        <v>552</v>
      </c>
      <c r="H92" s="8">
        <v>12209</v>
      </c>
      <c r="I92" s="8">
        <v>222</v>
      </c>
      <c r="J92" s="8">
        <v>479</v>
      </c>
      <c r="K92" s="8">
        <v>2748</v>
      </c>
      <c r="L92" s="7">
        <v>24615</v>
      </c>
      <c r="M92" s="3">
        <v>74707</v>
      </c>
      <c r="N92" s="3" t="s">
        <v>19</v>
      </c>
    </row>
    <row r="93" spans="1:14" ht="14.25" customHeight="1" x14ac:dyDescent="0.3">
      <c r="A93" s="3" t="s">
        <v>188</v>
      </c>
      <c r="B93" s="3" t="s">
        <v>542</v>
      </c>
      <c r="C93" s="6" t="s">
        <v>128</v>
      </c>
      <c r="D93" s="3" t="s">
        <v>23</v>
      </c>
      <c r="E93" s="3" t="s">
        <v>18</v>
      </c>
      <c r="F93" s="3" t="s">
        <v>545</v>
      </c>
      <c r="G93" s="3" t="s">
        <v>546</v>
      </c>
      <c r="H93" s="8">
        <v>19715</v>
      </c>
      <c r="I93" s="8">
        <v>1014</v>
      </c>
      <c r="J93" s="8">
        <v>718</v>
      </c>
      <c r="K93" s="8">
        <v>1185</v>
      </c>
      <c r="L93" s="7">
        <v>37625</v>
      </c>
      <c r="M93" s="3">
        <v>191409</v>
      </c>
      <c r="N93" s="3" t="s">
        <v>16</v>
      </c>
    </row>
    <row r="94" spans="1:14" ht="14.25" customHeight="1" x14ac:dyDescent="0.3">
      <c r="A94" s="3" t="s">
        <v>189</v>
      </c>
      <c r="B94" s="3" t="s">
        <v>44</v>
      </c>
      <c r="C94" s="6" t="s">
        <v>190</v>
      </c>
      <c r="D94" s="3" t="s">
        <v>36</v>
      </c>
      <c r="E94" s="3" t="s">
        <v>46</v>
      </c>
      <c r="F94" s="3" t="s">
        <v>555</v>
      </c>
      <c r="G94" s="3" t="s">
        <v>549</v>
      </c>
      <c r="H94" s="8">
        <v>22645</v>
      </c>
      <c r="I94" s="8">
        <v>545</v>
      </c>
      <c r="J94" s="8">
        <v>972</v>
      </c>
      <c r="K94" s="8">
        <v>321</v>
      </c>
      <c r="L94" s="7">
        <v>8396</v>
      </c>
      <c r="M94" s="3">
        <v>121537</v>
      </c>
      <c r="N94" s="3" t="s">
        <v>53</v>
      </c>
    </row>
    <row r="95" spans="1:14" ht="14.25" customHeight="1" x14ac:dyDescent="0.3">
      <c r="A95" s="3" t="s">
        <v>191</v>
      </c>
      <c r="B95" s="3" t="s">
        <v>44</v>
      </c>
      <c r="C95" s="6" t="s">
        <v>163</v>
      </c>
      <c r="D95" s="3" t="s">
        <v>36</v>
      </c>
      <c r="E95" s="3" t="s">
        <v>46</v>
      </c>
      <c r="F95" s="3" t="s">
        <v>555</v>
      </c>
      <c r="G95" s="3" t="s">
        <v>549</v>
      </c>
      <c r="H95" s="8">
        <v>11550</v>
      </c>
      <c r="I95" s="8">
        <v>501</v>
      </c>
      <c r="J95" s="8">
        <v>646</v>
      </c>
      <c r="K95" s="8">
        <v>773</v>
      </c>
      <c r="L95" s="7">
        <v>17841</v>
      </c>
      <c r="M95" s="3">
        <v>237576</v>
      </c>
      <c r="N95" s="3" t="s">
        <v>30</v>
      </c>
    </row>
    <row r="96" spans="1:14" ht="14.25" customHeight="1" x14ac:dyDescent="0.3">
      <c r="A96" s="3" t="s">
        <v>192</v>
      </c>
      <c r="B96" s="3" t="s">
        <v>44</v>
      </c>
      <c r="C96" s="6" t="s">
        <v>193</v>
      </c>
      <c r="D96" s="3" t="s">
        <v>23</v>
      </c>
      <c r="E96" s="3" t="s">
        <v>29</v>
      </c>
      <c r="F96" s="3" t="s">
        <v>549</v>
      </c>
      <c r="G96" s="3" t="s">
        <v>550</v>
      </c>
      <c r="H96" s="8">
        <v>23499</v>
      </c>
      <c r="I96" s="8">
        <v>562</v>
      </c>
      <c r="J96" s="8">
        <v>964</v>
      </c>
      <c r="K96" s="8">
        <v>2557</v>
      </c>
      <c r="L96" s="7">
        <v>56890</v>
      </c>
      <c r="M96" s="3">
        <v>218686</v>
      </c>
      <c r="N96" s="3" t="s">
        <v>30</v>
      </c>
    </row>
    <row r="97" spans="1:14" ht="14.25" customHeight="1" x14ac:dyDescent="0.3">
      <c r="A97" s="3" t="s">
        <v>194</v>
      </c>
      <c r="B97" s="3" t="s">
        <v>44</v>
      </c>
      <c r="C97" s="6" t="s">
        <v>195</v>
      </c>
      <c r="D97" s="3" t="s">
        <v>36</v>
      </c>
      <c r="E97" s="3" t="s">
        <v>40</v>
      </c>
      <c r="F97" s="3" t="s">
        <v>553</v>
      </c>
      <c r="G97" s="3" t="s">
        <v>554</v>
      </c>
      <c r="H97" s="8">
        <v>6637</v>
      </c>
      <c r="I97" s="8">
        <v>595</v>
      </c>
      <c r="J97" s="8">
        <v>161</v>
      </c>
      <c r="K97" s="8">
        <v>2653</v>
      </c>
      <c r="L97" s="7">
        <v>19334</v>
      </c>
      <c r="M97" s="3">
        <v>131155</v>
      </c>
      <c r="N97" s="3" t="s">
        <v>25</v>
      </c>
    </row>
    <row r="98" spans="1:14" ht="14.25" customHeight="1" x14ac:dyDescent="0.3">
      <c r="A98" s="3" t="s">
        <v>196</v>
      </c>
      <c r="B98" s="3" t="s">
        <v>44</v>
      </c>
      <c r="C98" s="6" t="s">
        <v>197</v>
      </c>
      <c r="D98" s="3" t="s">
        <v>36</v>
      </c>
      <c r="E98" s="3" t="s">
        <v>167</v>
      </c>
      <c r="F98" s="3" t="s">
        <v>558</v>
      </c>
      <c r="G98" s="3" t="s">
        <v>559</v>
      </c>
      <c r="H98" s="8">
        <v>6854</v>
      </c>
      <c r="I98" s="8">
        <v>417</v>
      </c>
      <c r="J98" s="8">
        <v>467</v>
      </c>
      <c r="K98" s="8">
        <v>1003</v>
      </c>
      <c r="L98" s="7">
        <v>61333</v>
      </c>
      <c r="M98" s="3">
        <v>40281</v>
      </c>
      <c r="N98" s="3" t="s">
        <v>16</v>
      </c>
    </row>
    <row r="99" spans="1:14" ht="14.25" customHeight="1" x14ac:dyDescent="0.3">
      <c r="A99" s="3" t="s">
        <v>198</v>
      </c>
      <c r="B99" s="3" t="s">
        <v>542</v>
      </c>
      <c r="C99" s="6" t="s">
        <v>199</v>
      </c>
      <c r="D99" s="3" t="s">
        <v>28</v>
      </c>
      <c r="E99" s="3" t="s">
        <v>37</v>
      </c>
      <c r="F99" s="3" t="s">
        <v>551</v>
      </c>
      <c r="G99" s="3" t="s">
        <v>552</v>
      </c>
      <c r="H99" s="8">
        <v>21561</v>
      </c>
      <c r="I99" s="8">
        <v>340</v>
      </c>
      <c r="J99" s="8">
        <v>741</v>
      </c>
      <c r="K99" s="8">
        <v>986</v>
      </c>
      <c r="L99" s="7">
        <v>24826</v>
      </c>
      <c r="M99" s="3">
        <v>198492</v>
      </c>
      <c r="N99" s="3" t="s">
        <v>16</v>
      </c>
    </row>
    <row r="100" spans="1:14" ht="14.25" customHeight="1" x14ac:dyDescent="0.3">
      <c r="A100" s="3" t="s">
        <v>200</v>
      </c>
      <c r="B100" s="3" t="s">
        <v>44</v>
      </c>
      <c r="C100" s="6" t="s">
        <v>201</v>
      </c>
      <c r="D100" s="3" t="s">
        <v>36</v>
      </c>
      <c r="E100" s="3" t="s">
        <v>37</v>
      </c>
      <c r="F100" s="3" t="s">
        <v>551</v>
      </c>
      <c r="G100" s="3" t="s">
        <v>552</v>
      </c>
      <c r="H100" s="8">
        <v>12320</v>
      </c>
      <c r="I100" s="8">
        <v>1157</v>
      </c>
      <c r="J100" s="8">
        <v>365</v>
      </c>
      <c r="K100" s="8">
        <v>584</v>
      </c>
      <c r="L100" s="7">
        <v>66634</v>
      </c>
      <c r="M100" s="3">
        <v>210102</v>
      </c>
      <c r="N100" s="3" t="s">
        <v>30</v>
      </c>
    </row>
    <row r="101" spans="1:14" ht="14.25" customHeight="1" x14ac:dyDescent="0.3">
      <c r="A101" s="3" t="s">
        <v>202</v>
      </c>
      <c r="B101" s="3" t="s">
        <v>21</v>
      </c>
      <c r="C101" s="6">
        <v>45925</v>
      </c>
      <c r="D101" s="3" t="s">
        <v>14</v>
      </c>
      <c r="E101" s="3" t="s">
        <v>33</v>
      </c>
      <c r="F101" s="3" t="s">
        <v>33</v>
      </c>
      <c r="G101" s="3"/>
      <c r="H101" s="8">
        <v>20564</v>
      </c>
      <c r="I101" s="8">
        <v>1433</v>
      </c>
      <c r="J101" s="8">
        <v>488</v>
      </c>
      <c r="K101" s="8">
        <v>1015</v>
      </c>
      <c r="L101" s="7">
        <v>24333</v>
      </c>
      <c r="M101" s="3">
        <v>172130</v>
      </c>
      <c r="N101" s="3" t="s">
        <v>19</v>
      </c>
    </row>
    <row r="102" spans="1:14" ht="14.25" customHeight="1" x14ac:dyDescent="0.3">
      <c r="A102" s="3" t="s">
        <v>203</v>
      </c>
      <c r="B102" s="3" t="s">
        <v>541</v>
      </c>
      <c r="C102" s="6" t="s">
        <v>204</v>
      </c>
      <c r="D102" s="3" t="s">
        <v>36</v>
      </c>
      <c r="E102" s="3" t="s">
        <v>18</v>
      </c>
      <c r="F102" s="3" t="s">
        <v>545</v>
      </c>
      <c r="G102" s="3" t="s">
        <v>546</v>
      </c>
      <c r="H102" s="8">
        <v>6892</v>
      </c>
      <c r="I102" s="8">
        <v>1184</v>
      </c>
      <c r="J102" s="8">
        <v>925</v>
      </c>
      <c r="K102" s="8">
        <v>1062</v>
      </c>
      <c r="L102" s="7">
        <v>75008</v>
      </c>
      <c r="M102" s="3">
        <v>116260</v>
      </c>
      <c r="N102" s="3" t="s">
        <v>53</v>
      </c>
    </row>
    <row r="103" spans="1:14" ht="14.25" customHeight="1" x14ac:dyDescent="0.3">
      <c r="A103" s="3" t="s">
        <v>205</v>
      </c>
      <c r="B103" s="3" t="s">
        <v>44</v>
      </c>
      <c r="C103" s="6">
        <v>45926</v>
      </c>
      <c r="D103" s="3" t="s">
        <v>36</v>
      </c>
      <c r="E103" s="3" t="s">
        <v>33</v>
      </c>
      <c r="F103" s="3" t="s">
        <v>33</v>
      </c>
      <c r="G103" s="3"/>
      <c r="H103" s="8">
        <v>9043</v>
      </c>
      <c r="I103" s="8">
        <v>1192</v>
      </c>
      <c r="J103" s="8">
        <v>810</v>
      </c>
      <c r="K103" s="8">
        <v>1550</v>
      </c>
      <c r="L103" s="7">
        <v>5221</v>
      </c>
      <c r="M103" s="3">
        <v>199476</v>
      </c>
      <c r="N103" s="3" t="s">
        <v>19</v>
      </c>
    </row>
    <row r="104" spans="1:14" ht="14.25" customHeight="1" x14ac:dyDescent="0.3">
      <c r="A104" s="3" t="s">
        <v>206</v>
      </c>
      <c r="B104" s="3" t="s">
        <v>44</v>
      </c>
      <c r="C104" s="6">
        <v>45927</v>
      </c>
      <c r="D104" s="3" t="s">
        <v>23</v>
      </c>
      <c r="E104" s="3" t="s">
        <v>18</v>
      </c>
      <c r="F104" s="3" t="s">
        <v>545</v>
      </c>
      <c r="G104" s="3" t="s">
        <v>546</v>
      </c>
      <c r="H104" s="8">
        <v>18521</v>
      </c>
      <c r="I104" s="8">
        <v>1027</v>
      </c>
      <c r="J104" s="8">
        <v>230</v>
      </c>
      <c r="K104" s="8">
        <v>1247</v>
      </c>
      <c r="L104" s="7">
        <v>39588</v>
      </c>
      <c r="M104" s="3">
        <v>200928</v>
      </c>
      <c r="N104" s="3" t="s">
        <v>19</v>
      </c>
    </row>
    <row r="105" spans="1:14" ht="14.25" customHeight="1" x14ac:dyDescent="0.3">
      <c r="A105" s="3" t="s">
        <v>207</v>
      </c>
      <c r="B105" s="3" t="s">
        <v>542</v>
      </c>
      <c r="C105" s="6" t="s">
        <v>208</v>
      </c>
      <c r="D105" s="3" t="s">
        <v>14</v>
      </c>
      <c r="E105" s="3" t="s">
        <v>24</v>
      </c>
      <c r="F105" s="3" t="s">
        <v>547</v>
      </c>
      <c r="G105" s="3" t="s">
        <v>548</v>
      </c>
      <c r="H105" s="8">
        <v>24711</v>
      </c>
      <c r="I105" s="8">
        <v>882</v>
      </c>
      <c r="J105" s="8">
        <v>876</v>
      </c>
      <c r="K105" s="8">
        <v>2728</v>
      </c>
      <c r="L105" s="7">
        <v>32015</v>
      </c>
      <c r="M105" s="3">
        <v>180272</v>
      </c>
      <c r="N105" s="3" t="s">
        <v>30</v>
      </c>
    </row>
    <row r="106" spans="1:14" ht="14.25" customHeight="1" x14ac:dyDescent="0.3">
      <c r="A106" s="3" t="s">
        <v>209</v>
      </c>
      <c r="B106" s="3" t="s">
        <v>44</v>
      </c>
      <c r="C106" s="6" t="s">
        <v>210</v>
      </c>
      <c r="D106" s="3" t="s">
        <v>36</v>
      </c>
      <c r="E106" s="3" t="s">
        <v>46</v>
      </c>
      <c r="F106" s="3" t="s">
        <v>555</v>
      </c>
      <c r="G106" s="3" t="s">
        <v>549</v>
      </c>
      <c r="H106" s="8">
        <v>21856</v>
      </c>
      <c r="I106" s="8">
        <v>1203</v>
      </c>
      <c r="J106" s="8">
        <v>634</v>
      </c>
      <c r="K106" s="8">
        <v>2807</v>
      </c>
      <c r="L106" s="7">
        <v>3647</v>
      </c>
      <c r="M106" s="3">
        <v>104178</v>
      </c>
      <c r="N106" s="3" t="s">
        <v>30</v>
      </c>
    </row>
    <row r="107" spans="1:14" ht="14.25" customHeight="1" x14ac:dyDescent="0.3">
      <c r="A107" s="3" t="s">
        <v>211</v>
      </c>
      <c r="B107" s="3" t="s">
        <v>44</v>
      </c>
      <c r="C107" s="6" t="s">
        <v>212</v>
      </c>
      <c r="D107" s="3" t="s">
        <v>36</v>
      </c>
      <c r="E107" s="3" t="s">
        <v>40</v>
      </c>
      <c r="F107" s="3" t="s">
        <v>553</v>
      </c>
      <c r="G107" s="3" t="s">
        <v>554</v>
      </c>
      <c r="H107" s="8">
        <v>23833</v>
      </c>
      <c r="I107" s="8">
        <v>555</v>
      </c>
      <c r="J107" s="8">
        <v>523</v>
      </c>
      <c r="K107" s="8">
        <v>1330</v>
      </c>
      <c r="L107" s="7">
        <v>69141</v>
      </c>
      <c r="M107" s="3">
        <v>73997</v>
      </c>
      <c r="N107" s="3" t="s">
        <v>30</v>
      </c>
    </row>
    <row r="108" spans="1:14" ht="14.25" customHeight="1" x14ac:dyDescent="0.3">
      <c r="A108" s="3" t="s">
        <v>213</v>
      </c>
      <c r="B108" s="3" t="s">
        <v>44</v>
      </c>
      <c r="C108" s="6" t="s">
        <v>214</v>
      </c>
      <c r="D108" s="3" t="s">
        <v>28</v>
      </c>
      <c r="E108" s="3" t="s">
        <v>29</v>
      </c>
      <c r="F108" s="3" t="s">
        <v>549</v>
      </c>
      <c r="G108" s="3" t="s">
        <v>550</v>
      </c>
      <c r="H108" s="8">
        <v>21216</v>
      </c>
      <c r="I108" s="8">
        <v>1207</v>
      </c>
      <c r="J108" s="8">
        <v>859</v>
      </c>
      <c r="K108" s="8">
        <v>328</v>
      </c>
      <c r="L108" s="7">
        <v>91296</v>
      </c>
      <c r="M108" s="3">
        <v>196683</v>
      </c>
      <c r="N108" s="3" t="s">
        <v>25</v>
      </c>
    </row>
    <row r="109" spans="1:14" ht="14.25" customHeight="1" x14ac:dyDescent="0.3">
      <c r="A109" s="3" t="s">
        <v>215</v>
      </c>
      <c r="B109" s="3" t="s">
        <v>542</v>
      </c>
      <c r="C109" s="6">
        <v>45928</v>
      </c>
      <c r="D109" s="3" t="s">
        <v>36</v>
      </c>
      <c r="E109" s="3" t="s">
        <v>40</v>
      </c>
      <c r="F109" s="3" t="s">
        <v>553</v>
      </c>
      <c r="G109" s="3" t="s">
        <v>554</v>
      </c>
      <c r="H109" s="8">
        <v>21963</v>
      </c>
      <c r="I109" s="8">
        <v>1356</v>
      </c>
      <c r="J109" s="8">
        <v>349</v>
      </c>
      <c r="K109" s="8">
        <v>1206</v>
      </c>
      <c r="L109" s="7">
        <v>51755</v>
      </c>
      <c r="M109" s="3">
        <v>159273</v>
      </c>
      <c r="N109" s="3" t="s">
        <v>19</v>
      </c>
    </row>
    <row r="110" spans="1:14" ht="14.25" customHeight="1" x14ac:dyDescent="0.3">
      <c r="A110" s="3" t="s">
        <v>216</v>
      </c>
      <c r="B110" s="3" t="s">
        <v>44</v>
      </c>
      <c r="C110" s="6" t="s">
        <v>217</v>
      </c>
      <c r="D110" s="3" t="s">
        <v>36</v>
      </c>
      <c r="E110" s="3" t="s">
        <v>40</v>
      </c>
      <c r="F110" s="3" t="s">
        <v>553</v>
      </c>
      <c r="G110" s="3" t="s">
        <v>554</v>
      </c>
      <c r="H110" s="8">
        <v>24355</v>
      </c>
      <c r="I110" s="8">
        <v>1087</v>
      </c>
      <c r="J110" s="8">
        <v>686</v>
      </c>
      <c r="K110" s="8">
        <v>2426</v>
      </c>
      <c r="L110" s="7">
        <v>24963</v>
      </c>
      <c r="M110" s="3">
        <v>212307</v>
      </c>
      <c r="N110" s="3" t="s">
        <v>16</v>
      </c>
    </row>
    <row r="111" spans="1:14" ht="14.25" customHeight="1" x14ac:dyDescent="0.3">
      <c r="A111" s="3" t="s">
        <v>218</v>
      </c>
      <c r="B111" s="3" t="s">
        <v>541</v>
      </c>
      <c r="C111" s="6" t="s">
        <v>219</v>
      </c>
      <c r="D111" s="3" t="s">
        <v>28</v>
      </c>
      <c r="E111" s="3" t="s">
        <v>40</v>
      </c>
      <c r="F111" s="3" t="s">
        <v>553</v>
      </c>
      <c r="G111" s="3" t="s">
        <v>554</v>
      </c>
      <c r="H111" s="8">
        <v>6164</v>
      </c>
      <c r="I111" s="8">
        <v>326</v>
      </c>
      <c r="J111" s="8">
        <v>615</v>
      </c>
      <c r="K111" s="8">
        <v>2806</v>
      </c>
      <c r="L111" s="7">
        <v>38579</v>
      </c>
      <c r="M111" s="3">
        <v>206129</v>
      </c>
      <c r="N111" s="3" t="s">
        <v>53</v>
      </c>
    </row>
    <row r="112" spans="1:14" ht="14.25" customHeight="1" x14ac:dyDescent="0.3">
      <c r="A112" s="3" t="s">
        <v>220</v>
      </c>
      <c r="B112" s="3" t="s">
        <v>542</v>
      </c>
      <c r="C112" s="6" t="s">
        <v>221</v>
      </c>
      <c r="D112" s="3" t="s">
        <v>23</v>
      </c>
      <c r="E112" s="3" t="s">
        <v>33</v>
      </c>
      <c r="F112" s="3" t="s">
        <v>33</v>
      </c>
      <c r="G112" s="3"/>
      <c r="H112" s="8">
        <v>9941</v>
      </c>
      <c r="I112" s="8">
        <v>1329</v>
      </c>
      <c r="J112" s="8">
        <v>238</v>
      </c>
      <c r="K112" s="8">
        <v>869</v>
      </c>
      <c r="L112" s="7">
        <v>40281</v>
      </c>
      <c r="M112" s="3">
        <v>172311</v>
      </c>
      <c r="N112" s="3" t="s">
        <v>25</v>
      </c>
    </row>
    <row r="113" spans="1:14" ht="14.25" customHeight="1" x14ac:dyDescent="0.3">
      <c r="A113" s="3" t="s">
        <v>222</v>
      </c>
      <c r="B113" s="3" t="s">
        <v>541</v>
      </c>
      <c r="C113" s="6" t="s">
        <v>223</v>
      </c>
      <c r="D113" s="3" t="s">
        <v>36</v>
      </c>
      <c r="E113" s="3" t="s">
        <v>18</v>
      </c>
      <c r="F113" s="3" t="s">
        <v>545</v>
      </c>
      <c r="G113" s="3" t="s">
        <v>546</v>
      </c>
      <c r="H113" s="8">
        <v>16388</v>
      </c>
      <c r="I113" s="8">
        <v>1208</v>
      </c>
      <c r="J113" s="8">
        <v>417</v>
      </c>
      <c r="K113" s="8">
        <v>2306</v>
      </c>
      <c r="L113" s="7">
        <v>16865</v>
      </c>
      <c r="M113" s="3">
        <v>236733</v>
      </c>
      <c r="N113" s="3" t="s">
        <v>16</v>
      </c>
    </row>
    <row r="114" spans="1:14" ht="14.25" customHeight="1" x14ac:dyDescent="0.3">
      <c r="A114" s="3" t="s">
        <v>224</v>
      </c>
      <c r="B114" s="3" t="s">
        <v>542</v>
      </c>
      <c r="C114" s="6">
        <v>45929</v>
      </c>
      <c r="D114" s="3" t="s">
        <v>28</v>
      </c>
      <c r="E114" s="3" t="s">
        <v>68</v>
      </c>
      <c r="F114" s="3" t="s">
        <v>557</v>
      </c>
      <c r="G114" s="3" t="s">
        <v>33</v>
      </c>
      <c r="H114" s="8">
        <v>7569</v>
      </c>
      <c r="I114" s="8">
        <v>803</v>
      </c>
      <c r="J114" s="8">
        <v>804</v>
      </c>
      <c r="K114" s="8">
        <v>1753</v>
      </c>
      <c r="L114" s="7">
        <v>43582</v>
      </c>
      <c r="M114" s="3">
        <v>166945</v>
      </c>
      <c r="N114" s="3" t="s">
        <v>19</v>
      </c>
    </row>
    <row r="115" spans="1:14" ht="14.25" customHeight="1" x14ac:dyDescent="0.3">
      <c r="A115" s="3" t="s">
        <v>225</v>
      </c>
      <c r="B115" s="3" t="s">
        <v>44</v>
      </c>
      <c r="C115" s="6" t="s">
        <v>226</v>
      </c>
      <c r="D115" s="3" t="s">
        <v>14</v>
      </c>
      <c r="E115" s="3" t="s">
        <v>24</v>
      </c>
      <c r="F115" s="3" t="s">
        <v>547</v>
      </c>
      <c r="G115" s="3" t="s">
        <v>548</v>
      </c>
      <c r="H115" s="8">
        <v>6300</v>
      </c>
      <c r="I115" s="8">
        <v>1213</v>
      </c>
      <c r="J115" s="8">
        <v>720</v>
      </c>
      <c r="K115" s="8">
        <v>1037</v>
      </c>
      <c r="L115" s="7">
        <v>39569</v>
      </c>
      <c r="M115" s="3">
        <v>85272</v>
      </c>
      <c r="N115" s="3" t="s">
        <v>30</v>
      </c>
    </row>
    <row r="116" spans="1:14" ht="14.25" customHeight="1" x14ac:dyDescent="0.3">
      <c r="A116" s="3" t="s">
        <v>227</v>
      </c>
      <c r="B116" s="3" t="s">
        <v>541</v>
      </c>
      <c r="C116" s="6">
        <v>45930</v>
      </c>
      <c r="D116" s="3" t="s">
        <v>23</v>
      </c>
      <c r="E116" s="3" t="s">
        <v>15</v>
      </c>
      <c r="F116" s="3" t="s">
        <v>543</v>
      </c>
      <c r="G116" s="3" t="s">
        <v>544</v>
      </c>
      <c r="H116" s="8">
        <v>8269</v>
      </c>
      <c r="I116" s="8">
        <v>250</v>
      </c>
      <c r="J116" s="8">
        <v>638</v>
      </c>
      <c r="K116" s="8">
        <v>815</v>
      </c>
      <c r="L116" s="7">
        <v>41991</v>
      </c>
      <c r="M116" s="3">
        <v>129393</v>
      </c>
      <c r="N116" s="3" t="s">
        <v>19</v>
      </c>
    </row>
    <row r="117" spans="1:14" ht="14.25" customHeight="1" x14ac:dyDescent="0.3">
      <c r="A117" s="3" t="s">
        <v>228</v>
      </c>
      <c r="B117" s="3" t="s">
        <v>542</v>
      </c>
      <c r="C117" s="6" t="s">
        <v>229</v>
      </c>
      <c r="D117" s="3" t="s">
        <v>14</v>
      </c>
      <c r="E117" s="3" t="s">
        <v>40</v>
      </c>
      <c r="F117" s="3" t="s">
        <v>553</v>
      </c>
      <c r="G117" s="3" t="s">
        <v>554</v>
      </c>
      <c r="H117" s="8">
        <v>5818</v>
      </c>
      <c r="I117" s="8">
        <v>1252</v>
      </c>
      <c r="J117" s="8">
        <v>687</v>
      </c>
      <c r="K117" s="8">
        <v>2300</v>
      </c>
      <c r="L117" s="7">
        <v>25081</v>
      </c>
      <c r="M117" s="3">
        <v>101212</v>
      </c>
      <c r="N117" s="3" t="s">
        <v>53</v>
      </c>
    </row>
    <row r="118" spans="1:14" ht="14.25" customHeight="1" x14ac:dyDescent="0.3">
      <c r="A118" s="3" t="s">
        <v>230</v>
      </c>
      <c r="B118" s="3" t="s">
        <v>21</v>
      </c>
      <c r="C118" s="6" t="s">
        <v>231</v>
      </c>
      <c r="D118" s="3" t="s">
        <v>14</v>
      </c>
      <c r="E118" s="3" t="s">
        <v>60</v>
      </c>
      <c r="F118" s="3" t="s">
        <v>549</v>
      </c>
      <c r="G118" s="3" t="s">
        <v>556</v>
      </c>
      <c r="H118" s="8">
        <v>14015</v>
      </c>
      <c r="I118" s="8">
        <v>978</v>
      </c>
      <c r="J118" s="8">
        <v>196</v>
      </c>
      <c r="K118" s="8">
        <v>2744</v>
      </c>
      <c r="L118" s="7">
        <v>20190</v>
      </c>
      <c r="M118" s="3">
        <v>186470</v>
      </c>
      <c r="N118" s="3" t="s">
        <v>25</v>
      </c>
    </row>
    <row r="119" spans="1:14" ht="14.25" customHeight="1" x14ac:dyDescent="0.3">
      <c r="A119" s="3" t="s">
        <v>232</v>
      </c>
      <c r="B119" s="3" t="s">
        <v>44</v>
      </c>
      <c r="C119" s="6" t="s">
        <v>231</v>
      </c>
      <c r="D119" s="3" t="s">
        <v>28</v>
      </c>
      <c r="E119" s="3" t="s">
        <v>33</v>
      </c>
      <c r="F119" s="3" t="s">
        <v>33</v>
      </c>
      <c r="G119" s="3"/>
      <c r="H119" s="8">
        <v>14234</v>
      </c>
      <c r="I119" s="8">
        <v>1013</v>
      </c>
      <c r="J119" s="8">
        <v>437</v>
      </c>
      <c r="K119" s="8">
        <v>338</v>
      </c>
      <c r="L119" s="7">
        <v>67754</v>
      </c>
      <c r="M119" s="3">
        <v>160030</v>
      </c>
      <c r="N119" s="3" t="s">
        <v>25</v>
      </c>
    </row>
    <row r="120" spans="1:14" ht="14.25" customHeight="1" x14ac:dyDescent="0.3">
      <c r="A120" s="3" t="s">
        <v>233</v>
      </c>
      <c r="B120" s="3" t="s">
        <v>542</v>
      </c>
      <c r="C120" s="6" t="s">
        <v>234</v>
      </c>
      <c r="D120" s="3" t="s">
        <v>36</v>
      </c>
      <c r="E120" s="3" t="s">
        <v>167</v>
      </c>
      <c r="F120" s="3" t="s">
        <v>558</v>
      </c>
      <c r="G120" s="3" t="s">
        <v>559</v>
      </c>
      <c r="H120" s="8">
        <v>20290</v>
      </c>
      <c r="I120" s="8">
        <v>619</v>
      </c>
      <c r="J120" s="8">
        <v>927</v>
      </c>
      <c r="K120" s="8">
        <v>1186</v>
      </c>
      <c r="L120" s="7">
        <v>8924</v>
      </c>
      <c r="M120" s="3">
        <v>96503</v>
      </c>
      <c r="N120" s="3" t="s">
        <v>53</v>
      </c>
    </row>
    <row r="121" spans="1:14" ht="14.25" customHeight="1" x14ac:dyDescent="0.3">
      <c r="A121" s="3" t="s">
        <v>235</v>
      </c>
      <c r="B121" s="3" t="s">
        <v>21</v>
      </c>
      <c r="C121" s="6" t="s">
        <v>128</v>
      </c>
      <c r="D121" s="3" t="s">
        <v>28</v>
      </c>
      <c r="E121" s="3" t="s">
        <v>29</v>
      </c>
      <c r="F121" s="3" t="s">
        <v>549</v>
      </c>
      <c r="G121" s="3" t="s">
        <v>550</v>
      </c>
      <c r="H121" s="8">
        <v>8254</v>
      </c>
      <c r="I121" s="8">
        <v>1405</v>
      </c>
      <c r="J121" s="8">
        <v>165</v>
      </c>
      <c r="K121" s="8">
        <v>2504</v>
      </c>
      <c r="L121" s="7">
        <v>8081</v>
      </c>
      <c r="M121" s="3">
        <v>177710</v>
      </c>
      <c r="N121" s="3" t="s">
        <v>16</v>
      </c>
    </row>
    <row r="122" spans="1:14" ht="14.25" customHeight="1" x14ac:dyDescent="0.3">
      <c r="A122" s="3" t="s">
        <v>236</v>
      </c>
      <c r="B122" s="3" t="s">
        <v>542</v>
      </c>
      <c r="C122" s="6" t="s">
        <v>219</v>
      </c>
      <c r="D122" s="3" t="s">
        <v>28</v>
      </c>
      <c r="E122" s="3" t="s">
        <v>15</v>
      </c>
      <c r="F122" s="3" t="s">
        <v>543</v>
      </c>
      <c r="G122" s="3" t="s">
        <v>544</v>
      </c>
      <c r="H122" s="8">
        <v>19144</v>
      </c>
      <c r="I122" s="8">
        <v>1182</v>
      </c>
      <c r="J122" s="8">
        <v>860</v>
      </c>
      <c r="K122" s="8">
        <v>1398</v>
      </c>
      <c r="L122" s="7">
        <v>4185</v>
      </c>
      <c r="M122" s="3">
        <v>46570</v>
      </c>
      <c r="N122" s="3" t="s">
        <v>16</v>
      </c>
    </row>
    <row r="123" spans="1:14" ht="14.25" customHeight="1" x14ac:dyDescent="0.3">
      <c r="A123" s="3" t="s">
        <v>237</v>
      </c>
      <c r="B123" s="3" t="s">
        <v>21</v>
      </c>
      <c r="C123" s="6" t="s">
        <v>238</v>
      </c>
      <c r="D123" s="3" t="s">
        <v>28</v>
      </c>
      <c r="E123" s="3" t="s">
        <v>68</v>
      </c>
      <c r="F123" s="3" t="s">
        <v>557</v>
      </c>
      <c r="G123" s="3" t="s">
        <v>33</v>
      </c>
      <c r="H123" s="8">
        <v>9350</v>
      </c>
      <c r="I123" s="8">
        <v>1024</v>
      </c>
      <c r="J123" s="8">
        <v>550</v>
      </c>
      <c r="K123" s="8">
        <v>2123</v>
      </c>
      <c r="L123" s="7">
        <v>53916</v>
      </c>
      <c r="M123" s="3">
        <v>108785</v>
      </c>
      <c r="N123" s="3" t="s">
        <v>25</v>
      </c>
    </row>
    <row r="124" spans="1:14" ht="14.25" customHeight="1" x14ac:dyDescent="0.3">
      <c r="A124" s="3" t="s">
        <v>239</v>
      </c>
      <c r="B124" s="3" t="s">
        <v>44</v>
      </c>
      <c r="C124" s="6" t="s">
        <v>210</v>
      </c>
      <c r="D124" s="3" t="s">
        <v>28</v>
      </c>
      <c r="E124" s="3" t="s">
        <v>60</v>
      </c>
      <c r="F124" s="3" t="s">
        <v>549</v>
      </c>
      <c r="G124" s="3" t="s">
        <v>556</v>
      </c>
      <c r="H124" s="8">
        <v>17183</v>
      </c>
      <c r="I124" s="8">
        <v>1224</v>
      </c>
      <c r="J124" s="8">
        <v>943</v>
      </c>
      <c r="K124" s="8">
        <v>2010</v>
      </c>
      <c r="L124" s="7">
        <v>21481</v>
      </c>
      <c r="M124" s="3">
        <v>49110</v>
      </c>
      <c r="N124" s="3" t="s">
        <v>25</v>
      </c>
    </row>
    <row r="125" spans="1:14" ht="14.25" customHeight="1" x14ac:dyDescent="0.3">
      <c r="A125" s="3" t="s">
        <v>240</v>
      </c>
      <c r="B125" s="3" t="s">
        <v>541</v>
      </c>
      <c r="C125" s="6" t="s">
        <v>241</v>
      </c>
      <c r="D125" s="3" t="s">
        <v>23</v>
      </c>
      <c r="E125" s="3" t="s">
        <v>68</v>
      </c>
      <c r="F125" s="3" t="s">
        <v>557</v>
      </c>
      <c r="G125" s="3" t="s">
        <v>33</v>
      </c>
      <c r="H125" s="8">
        <v>8238</v>
      </c>
      <c r="I125" s="8">
        <v>766</v>
      </c>
      <c r="J125" s="8">
        <v>235</v>
      </c>
      <c r="K125" s="8">
        <v>1273</v>
      </c>
      <c r="L125" s="7">
        <v>4706</v>
      </c>
      <c r="M125" s="3">
        <v>119141</v>
      </c>
      <c r="N125" s="3" t="s">
        <v>30</v>
      </c>
    </row>
    <row r="126" spans="1:14" ht="14.25" customHeight="1" x14ac:dyDescent="0.3">
      <c r="A126" s="3" t="s">
        <v>242</v>
      </c>
      <c r="B126" s="3" t="s">
        <v>21</v>
      </c>
      <c r="C126" s="6" t="s">
        <v>243</v>
      </c>
      <c r="D126" s="3" t="s">
        <v>36</v>
      </c>
      <c r="E126" s="3" t="s">
        <v>15</v>
      </c>
      <c r="F126" s="3" t="s">
        <v>543</v>
      </c>
      <c r="G126" s="3" t="s">
        <v>544</v>
      </c>
      <c r="H126" s="8">
        <v>8090</v>
      </c>
      <c r="I126" s="8">
        <v>570</v>
      </c>
      <c r="J126" s="8">
        <v>399</v>
      </c>
      <c r="K126" s="8">
        <v>1862</v>
      </c>
      <c r="L126" s="7">
        <v>34088</v>
      </c>
      <c r="M126" s="3">
        <v>52115</v>
      </c>
      <c r="N126" s="3" t="s">
        <v>16</v>
      </c>
    </row>
    <row r="127" spans="1:14" ht="14.25" customHeight="1" x14ac:dyDescent="0.3">
      <c r="A127" s="3" t="s">
        <v>244</v>
      </c>
      <c r="B127" s="3" t="s">
        <v>542</v>
      </c>
      <c r="C127" s="6" t="s">
        <v>142</v>
      </c>
      <c r="D127" s="3" t="s">
        <v>14</v>
      </c>
      <c r="E127" s="3" t="s">
        <v>40</v>
      </c>
      <c r="F127" s="3" t="s">
        <v>553</v>
      </c>
      <c r="G127" s="3" t="s">
        <v>554</v>
      </c>
      <c r="H127" s="8">
        <v>13637</v>
      </c>
      <c r="I127" s="8">
        <v>1135</v>
      </c>
      <c r="J127" s="8">
        <v>540</v>
      </c>
      <c r="K127" s="8">
        <v>1288</v>
      </c>
      <c r="L127" s="7">
        <v>45183</v>
      </c>
      <c r="M127" s="3">
        <v>79062</v>
      </c>
      <c r="N127" s="3" t="s">
        <v>53</v>
      </c>
    </row>
    <row r="128" spans="1:14" ht="14.25" customHeight="1" x14ac:dyDescent="0.3">
      <c r="A128" s="3" t="s">
        <v>245</v>
      </c>
      <c r="B128" s="3" t="s">
        <v>44</v>
      </c>
      <c r="C128" s="6" t="s">
        <v>179</v>
      </c>
      <c r="D128" s="3" t="s">
        <v>14</v>
      </c>
      <c r="E128" s="3" t="s">
        <v>60</v>
      </c>
      <c r="F128" s="3" t="s">
        <v>549</v>
      </c>
      <c r="G128" s="3" t="s">
        <v>556</v>
      </c>
      <c r="H128" s="8">
        <v>24415</v>
      </c>
      <c r="I128" s="8">
        <v>860</v>
      </c>
      <c r="J128" s="8">
        <v>931</v>
      </c>
      <c r="K128" s="8">
        <v>320</v>
      </c>
      <c r="L128" s="7">
        <v>65049</v>
      </c>
      <c r="M128" s="3">
        <v>62911</v>
      </c>
      <c r="N128" s="3" t="s">
        <v>16</v>
      </c>
    </row>
    <row r="129" spans="1:14" ht="14.25" customHeight="1" x14ac:dyDescent="0.3">
      <c r="A129" s="3" t="s">
        <v>246</v>
      </c>
      <c r="B129" s="3" t="s">
        <v>21</v>
      </c>
      <c r="C129" s="6" t="s">
        <v>247</v>
      </c>
      <c r="D129" s="3" t="s">
        <v>36</v>
      </c>
      <c r="E129" s="3" t="s">
        <v>68</v>
      </c>
      <c r="F129" s="3" t="s">
        <v>557</v>
      </c>
      <c r="G129" s="3" t="s">
        <v>33</v>
      </c>
      <c r="H129" s="8">
        <v>14647</v>
      </c>
      <c r="I129" s="8">
        <v>1168</v>
      </c>
      <c r="J129" s="8">
        <v>484</v>
      </c>
      <c r="K129" s="8">
        <v>2650</v>
      </c>
      <c r="L129" s="7">
        <v>27217</v>
      </c>
      <c r="M129" s="3">
        <v>144061</v>
      </c>
      <c r="N129" s="3" t="s">
        <v>30</v>
      </c>
    </row>
    <row r="130" spans="1:14" ht="14.25" customHeight="1" x14ac:dyDescent="0.3">
      <c r="A130" s="3" t="s">
        <v>248</v>
      </c>
      <c r="B130" s="3" t="s">
        <v>542</v>
      </c>
      <c r="C130" s="6" t="s">
        <v>50</v>
      </c>
      <c r="D130" s="3" t="s">
        <v>14</v>
      </c>
      <c r="E130" s="3" t="s">
        <v>29</v>
      </c>
      <c r="F130" s="3" t="s">
        <v>549</v>
      </c>
      <c r="G130" s="3" t="s">
        <v>550</v>
      </c>
      <c r="H130" s="8">
        <v>11911</v>
      </c>
      <c r="I130" s="8">
        <v>1360</v>
      </c>
      <c r="J130" s="8">
        <v>778</v>
      </c>
      <c r="K130" s="8">
        <v>1168</v>
      </c>
      <c r="L130" s="7">
        <v>16483</v>
      </c>
      <c r="M130" s="3">
        <v>72556</v>
      </c>
      <c r="N130" s="3" t="s">
        <v>25</v>
      </c>
    </row>
    <row r="131" spans="1:14" ht="14.25" customHeight="1" x14ac:dyDescent="0.3">
      <c r="A131" s="3" t="s">
        <v>249</v>
      </c>
      <c r="B131" s="3" t="s">
        <v>542</v>
      </c>
      <c r="C131" s="6" t="s">
        <v>250</v>
      </c>
      <c r="D131" s="3" t="s">
        <v>36</v>
      </c>
      <c r="E131" s="3" t="s">
        <v>18</v>
      </c>
      <c r="F131" s="3" t="s">
        <v>545</v>
      </c>
      <c r="G131" s="3" t="s">
        <v>546</v>
      </c>
      <c r="H131" s="8">
        <v>10472</v>
      </c>
      <c r="I131" s="8">
        <v>401</v>
      </c>
      <c r="J131" s="8">
        <v>668</v>
      </c>
      <c r="K131" s="8">
        <v>383</v>
      </c>
      <c r="L131" s="7">
        <v>37571</v>
      </c>
      <c r="M131" s="3">
        <v>249203</v>
      </c>
      <c r="N131" s="3" t="s">
        <v>25</v>
      </c>
    </row>
    <row r="132" spans="1:14" ht="14.25" customHeight="1" x14ac:dyDescent="0.3">
      <c r="A132" s="3" t="s">
        <v>251</v>
      </c>
      <c r="B132" s="3" t="s">
        <v>542</v>
      </c>
      <c r="C132" s="6" t="s">
        <v>128</v>
      </c>
      <c r="D132" s="3" t="s">
        <v>14</v>
      </c>
      <c r="E132" s="3" t="s">
        <v>46</v>
      </c>
      <c r="F132" s="3" t="s">
        <v>555</v>
      </c>
      <c r="G132" s="3" t="s">
        <v>549</v>
      </c>
      <c r="H132" s="8">
        <v>20271</v>
      </c>
      <c r="I132" s="8">
        <v>512</v>
      </c>
      <c r="J132" s="8">
        <v>286</v>
      </c>
      <c r="K132" s="8">
        <v>1982</v>
      </c>
      <c r="L132" s="7">
        <v>43225</v>
      </c>
      <c r="M132" s="3">
        <v>168335</v>
      </c>
      <c r="N132" s="3" t="s">
        <v>30</v>
      </c>
    </row>
    <row r="133" spans="1:14" ht="14.25" customHeight="1" x14ac:dyDescent="0.3">
      <c r="A133" s="3" t="s">
        <v>252</v>
      </c>
      <c r="B133" s="3" t="s">
        <v>21</v>
      </c>
      <c r="C133" s="6" t="s">
        <v>81</v>
      </c>
      <c r="D133" s="3" t="s">
        <v>28</v>
      </c>
      <c r="E133" s="3" t="s">
        <v>18</v>
      </c>
      <c r="F133" s="3" t="s">
        <v>545</v>
      </c>
      <c r="G133" s="3" t="s">
        <v>546</v>
      </c>
      <c r="H133" s="8">
        <v>5266</v>
      </c>
      <c r="I133" s="8">
        <v>316</v>
      </c>
      <c r="J133" s="8">
        <v>837</v>
      </c>
      <c r="K133" s="8">
        <v>2276</v>
      </c>
      <c r="L133" s="7">
        <v>20967</v>
      </c>
      <c r="M133" s="3">
        <v>41969</v>
      </c>
      <c r="N133" s="3" t="s">
        <v>53</v>
      </c>
    </row>
    <row r="134" spans="1:14" ht="14.25" customHeight="1" x14ac:dyDescent="0.3">
      <c r="A134" s="3" t="s">
        <v>253</v>
      </c>
      <c r="B134" s="3" t="s">
        <v>21</v>
      </c>
      <c r="C134" s="6" t="s">
        <v>254</v>
      </c>
      <c r="D134" s="3" t="s">
        <v>14</v>
      </c>
      <c r="E134" s="3" t="s">
        <v>15</v>
      </c>
      <c r="F134" s="3" t="s">
        <v>543</v>
      </c>
      <c r="G134" s="3" t="s">
        <v>544</v>
      </c>
      <c r="H134" s="8">
        <v>2666</v>
      </c>
      <c r="I134" s="8">
        <v>1136</v>
      </c>
      <c r="J134" s="8">
        <v>989</v>
      </c>
      <c r="K134" s="8">
        <v>1710</v>
      </c>
      <c r="L134" s="7">
        <v>36467</v>
      </c>
      <c r="M134" s="3">
        <v>83753</v>
      </c>
      <c r="N134" s="3" t="s">
        <v>25</v>
      </c>
    </row>
    <row r="135" spans="1:14" ht="14.25" customHeight="1" x14ac:dyDescent="0.3">
      <c r="A135" s="3" t="s">
        <v>255</v>
      </c>
      <c r="B135" s="3" t="s">
        <v>21</v>
      </c>
      <c r="C135" s="6">
        <v>45931</v>
      </c>
      <c r="D135" s="3" t="s">
        <v>36</v>
      </c>
      <c r="E135" s="3" t="s">
        <v>33</v>
      </c>
      <c r="F135" s="3" t="s">
        <v>33</v>
      </c>
      <c r="G135" s="3"/>
      <c r="H135" s="8">
        <v>6188</v>
      </c>
      <c r="I135" s="8">
        <v>774</v>
      </c>
      <c r="J135" s="8">
        <v>647</v>
      </c>
      <c r="K135" s="8">
        <v>1830</v>
      </c>
      <c r="L135" s="7">
        <v>55436</v>
      </c>
      <c r="M135" s="3">
        <v>175542</v>
      </c>
      <c r="N135" s="3" t="s">
        <v>19</v>
      </c>
    </row>
    <row r="136" spans="1:14" ht="14.25" customHeight="1" x14ac:dyDescent="0.3">
      <c r="A136" s="3" t="s">
        <v>256</v>
      </c>
      <c r="B136" s="3" t="s">
        <v>541</v>
      </c>
      <c r="C136" s="6" t="s">
        <v>257</v>
      </c>
      <c r="D136" s="3" t="s">
        <v>36</v>
      </c>
      <c r="E136" s="3" t="s">
        <v>46</v>
      </c>
      <c r="F136" s="3" t="s">
        <v>555</v>
      </c>
      <c r="G136" s="3" t="s">
        <v>549</v>
      </c>
      <c r="H136" s="8">
        <v>19055</v>
      </c>
      <c r="I136" s="8">
        <v>443</v>
      </c>
      <c r="J136" s="8">
        <v>976</v>
      </c>
      <c r="K136" s="8">
        <v>869</v>
      </c>
      <c r="L136" s="7">
        <v>75437</v>
      </c>
      <c r="M136" s="3">
        <v>161863</v>
      </c>
      <c r="N136" s="3" t="s">
        <v>25</v>
      </c>
    </row>
    <row r="137" spans="1:14" ht="14.25" customHeight="1" x14ac:dyDescent="0.3">
      <c r="A137" s="3" t="s">
        <v>258</v>
      </c>
      <c r="B137" s="3" t="s">
        <v>21</v>
      </c>
      <c r="C137" s="6">
        <v>45932</v>
      </c>
      <c r="D137" s="3" t="s">
        <v>36</v>
      </c>
      <c r="E137" s="3" t="s">
        <v>24</v>
      </c>
      <c r="F137" s="3" t="s">
        <v>547</v>
      </c>
      <c r="G137" s="3" t="s">
        <v>548</v>
      </c>
      <c r="H137" s="8">
        <v>12161</v>
      </c>
      <c r="I137" s="8">
        <v>736</v>
      </c>
      <c r="J137" s="8">
        <v>876</v>
      </c>
      <c r="K137" s="8">
        <v>1233</v>
      </c>
      <c r="L137" s="7">
        <v>21337</v>
      </c>
      <c r="M137" s="3">
        <v>50225</v>
      </c>
      <c r="N137" s="3" t="s">
        <v>19</v>
      </c>
    </row>
    <row r="138" spans="1:14" ht="14.25" customHeight="1" x14ac:dyDescent="0.3">
      <c r="A138" s="3" t="s">
        <v>259</v>
      </c>
      <c r="B138" s="3" t="s">
        <v>21</v>
      </c>
      <c r="C138" s="6" t="s">
        <v>89</v>
      </c>
      <c r="D138" s="3" t="s">
        <v>36</v>
      </c>
      <c r="E138" s="3" t="s">
        <v>29</v>
      </c>
      <c r="F138" s="3" t="s">
        <v>549</v>
      </c>
      <c r="G138" s="3" t="s">
        <v>550</v>
      </c>
      <c r="H138" s="8">
        <v>13314</v>
      </c>
      <c r="I138" s="8">
        <v>274</v>
      </c>
      <c r="J138" s="8">
        <v>626</v>
      </c>
      <c r="K138" s="8">
        <v>2280</v>
      </c>
      <c r="L138" s="7">
        <v>14639</v>
      </c>
      <c r="M138" s="3">
        <v>163008</v>
      </c>
      <c r="N138" s="3" t="s">
        <v>30</v>
      </c>
    </row>
    <row r="139" spans="1:14" ht="14.25" customHeight="1" x14ac:dyDescent="0.3">
      <c r="A139" s="3" t="s">
        <v>260</v>
      </c>
      <c r="B139" s="3" t="s">
        <v>21</v>
      </c>
      <c r="C139" s="6" t="s">
        <v>146</v>
      </c>
      <c r="D139" s="3" t="s">
        <v>36</v>
      </c>
      <c r="E139" s="3" t="s">
        <v>24</v>
      </c>
      <c r="F139" s="3" t="s">
        <v>547</v>
      </c>
      <c r="G139" s="3" t="s">
        <v>548</v>
      </c>
      <c r="H139" s="8">
        <v>23508</v>
      </c>
      <c r="I139" s="8">
        <v>585</v>
      </c>
      <c r="J139" s="8">
        <v>743</v>
      </c>
      <c r="K139" s="8">
        <v>2155</v>
      </c>
      <c r="L139" s="7">
        <v>3704</v>
      </c>
      <c r="M139" s="3">
        <v>194268</v>
      </c>
      <c r="N139" s="3" t="s">
        <v>30</v>
      </c>
    </row>
    <row r="140" spans="1:14" ht="14.25" customHeight="1" x14ac:dyDescent="0.3">
      <c r="A140" s="3" t="s">
        <v>261</v>
      </c>
      <c r="B140" s="3" t="s">
        <v>541</v>
      </c>
      <c r="C140" s="6" t="s">
        <v>262</v>
      </c>
      <c r="D140" s="3" t="s">
        <v>23</v>
      </c>
      <c r="E140" s="3" t="s">
        <v>60</v>
      </c>
      <c r="F140" s="3" t="s">
        <v>549</v>
      </c>
      <c r="G140" s="3" t="s">
        <v>556</v>
      </c>
      <c r="H140" s="8">
        <v>23969</v>
      </c>
      <c r="I140" s="8">
        <v>1433</v>
      </c>
      <c r="J140" s="8">
        <v>372</v>
      </c>
      <c r="K140" s="8">
        <v>1092</v>
      </c>
      <c r="L140" s="7">
        <v>32147</v>
      </c>
      <c r="M140" s="3">
        <v>145823</v>
      </c>
      <c r="N140" s="3" t="s">
        <v>25</v>
      </c>
    </row>
    <row r="141" spans="1:14" ht="14.25" customHeight="1" x14ac:dyDescent="0.3">
      <c r="A141" s="3" t="s">
        <v>263</v>
      </c>
      <c r="B141" s="3" t="s">
        <v>21</v>
      </c>
      <c r="C141" s="6" t="s">
        <v>264</v>
      </c>
      <c r="D141" s="3" t="s">
        <v>23</v>
      </c>
      <c r="E141" s="3" t="s">
        <v>37</v>
      </c>
      <c r="F141" s="3" t="s">
        <v>551</v>
      </c>
      <c r="G141" s="3" t="s">
        <v>552</v>
      </c>
      <c r="H141" s="8">
        <v>14891</v>
      </c>
      <c r="I141" s="8">
        <v>674</v>
      </c>
      <c r="J141" s="8">
        <v>521</v>
      </c>
      <c r="K141" s="8">
        <v>1091</v>
      </c>
      <c r="L141" s="7">
        <v>18101</v>
      </c>
      <c r="M141" s="3">
        <v>53669</v>
      </c>
      <c r="N141" s="3" t="s">
        <v>16</v>
      </c>
    </row>
    <row r="142" spans="1:14" ht="14.25" customHeight="1" x14ac:dyDescent="0.3">
      <c r="A142" s="3" t="s">
        <v>265</v>
      </c>
      <c r="B142" s="3" t="s">
        <v>542</v>
      </c>
      <c r="C142" s="6">
        <v>45933</v>
      </c>
      <c r="D142" s="3" t="s">
        <v>14</v>
      </c>
      <c r="E142" s="3" t="s">
        <v>46</v>
      </c>
      <c r="F142" s="3" t="s">
        <v>555</v>
      </c>
      <c r="G142" s="3" t="s">
        <v>549</v>
      </c>
      <c r="H142" s="8">
        <v>6777</v>
      </c>
      <c r="I142" s="8">
        <v>617</v>
      </c>
      <c r="J142" s="8">
        <v>551</v>
      </c>
      <c r="K142" s="8">
        <v>2109</v>
      </c>
      <c r="L142" s="7">
        <v>18559</v>
      </c>
      <c r="M142" s="3">
        <v>208452</v>
      </c>
      <c r="N142" s="3" t="s">
        <v>19</v>
      </c>
    </row>
    <row r="143" spans="1:14" ht="14.25" customHeight="1" x14ac:dyDescent="0.3">
      <c r="A143" s="3" t="s">
        <v>266</v>
      </c>
      <c r="B143" s="3" t="s">
        <v>21</v>
      </c>
      <c r="C143" s="6" t="s">
        <v>267</v>
      </c>
      <c r="D143" s="3" t="s">
        <v>36</v>
      </c>
      <c r="E143" s="3" t="s">
        <v>24</v>
      </c>
      <c r="F143" s="3" t="s">
        <v>547</v>
      </c>
      <c r="G143" s="3" t="s">
        <v>548</v>
      </c>
      <c r="H143" s="8">
        <v>5900</v>
      </c>
      <c r="I143" s="8">
        <v>546</v>
      </c>
      <c r="J143" s="8">
        <v>592</v>
      </c>
      <c r="K143" s="8">
        <v>1594</v>
      </c>
      <c r="L143" s="7">
        <v>38627</v>
      </c>
      <c r="M143" s="3">
        <v>164398</v>
      </c>
      <c r="N143" s="3" t="s">
        <v>53</v>
      </c>
    </row>
    <row r="144" spans="1:14" ht="14.25" customHeight="1" x14ac:dyDescent="0.3">
      <c r="A144" s="3" t="s">
        <v>268</v>
      </c>
      <c r="B144" s="3" t="s">
        <v>542</v>
      </c>
      <c r="C144" s="6" t="s">
        <v>238</v>
      </c>
      <c r="D144" s="3" t="s">
        <v>14</v>
      </c>
      <c r="E144" s="3" t="s">
        <v>24</v>
      </c>
      <c r="F144" s="3" t="s">
        <v>547</v>
      </c>
      <c r="G144" s="3" t="s">
        <v>548</v>
      </c>
      <c r="H144" s="8">
        <v>15716</v>
      </c>
      <c r="I144" s="8">
        <v>839</v>
      </c>
      <c r="J144" s="8">
        <v>639</v>
      </c>
      <c r="K144" s="8">
        <v>2839</v>
      </c>
      <c r="L144" s="7">
        <v>349</v>
      </c>
      <c r="M144" s="3">
        <v>150677</v>
      </c>
      <c r="N144" s="3" t="s">
        <v>25</v>
      </c>
    </row>
    <row r="145" spans="1:14" ht="14.25" customHeight="1" x14ac:dyDescent="0.3">
      <c r="A145" s="3" t="s">
        <v>269</v>
      </c>
      <c r="B145" s="3" t="s">
        <v>542</v>
      </c>
      <c r="C145" s="6" t="s">
        <v>159</v>
      </c>
      <c r="D145" s="3" t="s">
        <v>36</v>
      </c>
      <c r="E145" s="3" t="s">
        <v>68</v>
      </c>
      <c r="F145" s="3" t="s">
        <v>557</v>
      </c>
      <c r="G145" s="3" t="s">
        <v>33</v>
      </c>
      <c r="H145" s="8">
        <v>8981</v>
      </c>
      <c r="I145" s="8">
        <v>1138</v>
      </c>
      <c r="J145" s="8">
        <v>764</v>
      </c>
      <c r="K145" s="8">
        <v>2555</v>
      </c>
      <c r="L145" s="7">
        <v>92810</v>
      </c>
      <c r="M145" s="3">
        <v>88320</v>
      </c>
      <c r="N145" s="3" t="s">
        <v>53</v>
      </c>
    </row>
    <row r="146" spans="1:14" ht="14.25" customHeight="1" x14ac:dyDescent="0.3">
      <c r="A146" s="3" t="s">
        <v>270</v>
      </c>
      <c r="B146" s="3" t="s">
        <v>542</v>
      </c>
      <c r="C146" s="6" t="s">
        <v>27</v>
      </c>
      <c r="D146" s="3" t="s">
        <v>36</v>
      </c>
      <c r="E146" s="3" t="s">
        <v>18</v>
      </c>
      <c r="F146" s="3" t="s">
        <v>545</v>
      </c>
      <c r="G146" s="3" t="s">
        <v>546</v>
      </c>
      <c r="H146" s="8">
        <v>8376</v>
      </c>
      <c r="I146" s="8">
        <v>1154</v>
      </c>
      <c r="J146" s="8">
        <v>422</v>
      </c>
      <c r="K146" s="8">
        <v>1907</v>
      </c>
      <c r="L146" s="7">
        <v>36874</v>
      </c>
      <c r="M146" s="3">
        <v>218486</v>
      </c>
      <c r="N146" s="3" t="s">
        <v>25</v>
      </c>
    </row>
    <row r="147" spans="1:14" ht="14.25" customHeight="1" x14ac:dyDescent="0.3">
      <c r="A147" s="3" t="s">
        <v>271</v>
      </c>
      <c r="B147" s="3" t="s">
        <v>541</v>
      </c>
      <c r="C147" s="6" t="s">
        <v>272</v>
      </c>
      <c r="D147" s="3" t="s">
        <v>23</v>
      </c>
      <c r="E147" s="3" t="s">
        <v>68</v>
      </c>
      <c r="F147" s="3" t="s">
        <v>557</v>
      </c>
      <c r="G147" s="3" t="s">
        <v>33</v>
      </c>
      <c r="H147" s="8">
        <v>18907</v>
      </c>
      <c r="I147" s="8">
        <v>1075</v>
      </c>
      <c r="J147" s="8">
        <v>675</v>
      </c>
      <c r="K147" s="8">
        <v>1383</v>
      </c>
      <c r="L147" s="7">
        <v>17875</v>
      </c>
      <c r="M147" s="3">
        <v>186649</v>
      </c>
      <c r="N147" s="3" t="s">
        <v>16</v>
      </c>
    </row>
    <row r="148" spans="1:14" ht="14.25" customHeight="1" x14ac:dyDescent="0.3">
      <c r="A148" s="3" t="s">
        <v>273</v>
      </c>
      <c r="B148" s="3" t="s">
        <v>541</v>
      </c>
      <c r="C148" s="6" t="s">
        <v>128</v>
      </c>
      <c r="D148" s="3" t="s">
        <v>23</v>
      </c>
      <c r="E148" s="3" t="s">
        <v>46</v>
      </c>
      <c r="F148" s="3" t="s">
        <v>555</v>
      </c>
      <c r="G148" s="3" t="s">
        <v>549</v>
      </c>
      <c r="H148" s="8">
        <v>20777</v>
      </c>
      <c r="I148" s="8">
        <v>962</v>
      </c>
      <c r="J148" s="8">
        <v>308</v>
      </c>
      <c r="K148" s="8">
        <v>2777</v>
      </c>
      <c r="L148" s="7">
        <v>25529</v>
      </c>
      <c r="M148" s="3">
        <v>165354</v>
      </c>
      <c r="N148" s="3" t="s">
        <v>16</v>
      </c>
    </row>
    <row r="149" spans="1:14" ht="14.25" customHeight="1" x14ac:dyDescent="0.3">
      <c r="A149" s="3" t="s">
        <v>274</v>
      </c>
      <c r="B149" s="3" t="s">
        <v>541</v>
      </c>
      <c r="C149" s="6" t="s">
        <v>130</v>
      </c>
      <c r="D149" s="3" t="s">
        <v>28</v>
      </c>
      <c r="E149" s="3" t="s">
        <v>46</v>
      </c>
      <c r="F149" s="3" t="s">
        <v>555</v>
      </c>
      <c r="G149" s="3" t="s">
        <v>549</v>
      </c>
      <c r="H149" s="8">
        <v>20977</v>
      </c>
      <c r="I149" s="8">
        <v>1402</v>
      </c>
      <c r="J149" s="8">
        <v>301</v>
      </c>
      <c r="K149" s="8">
        <v>1284</v>
      </c>
      <c r="L149" s="7">
        <v>24620</v>
      </c>
      <c r="M149" s="3">
        <v>128009</v>
      </c>
      <c r="N149" s="3" t="s">
        <v>16</v>
      </c>
    </row>
    <row r="150" spans="1:14" ht="14.25" customHeight="1" x14ac:dyDescent="0.3">
      <c r="A150" s="3" t="s">
        <v>275</v>
      </c>
      <c r="B150" s="3" t="s">
        <v>21</v>
      </c>
      <c r="C150" s="6" t="s">
        <v>276</v>
      </c>
      <c r="D150" s="3" t="s">
        <v>23</v>
      </c>
      <c r="E150" s="3" t="s">
        <v>15</v>
      </c>
      <c r="F150" s="3" t="s">
        <v>543</v>
      </c>
      <c r="G150" s="3" t="s">
        <v>544</v>
      </c>
      <c r="H150" s="8">
        <v>12160</v>
      </c>
      <c r="I150" s="8">
        <v>1405</v>
      </c>
      <c r="J150" s="8">
        <v>769</v>
      </c>
      <c r="K150" s="8">
        <v>1980</v>
      </c>
      <c r="L150" s="7">
        <v>33174</v>
      </c>
      <c r="M150" s="3">
        <v>226481</v>
      </c>
      <c r="N150" s="3" t="s">
        <v>16</v>
      </c>
    </row>
    <row r="151" spans="1:14" ht="14.25" customHeight="1" x14ac:dyDescent="0.3">
      <c r="A151" s="3" t="s">
        <v>277</v>
      </c>
      <c r="B151" s="3" t="s">
        <v>542</v>
      </c>
      <c r="C151" s="6" t="s">
        <v>278</v>
      </c>
      <c r="D151" s="3" t="s">
        <v>28</v>
      </c>
      <c r="E151" s="3" t="s">
        <v>68</v>
      </c>
      <c r="F151" s="3" t="s">
        <v>557</v>
      </c>
      <c r="G151" s="3" t="s">
        <v>33</v>
      </c>
      <c r="H151" s="8">
        <v>16124</v>
      </c>
      <c r="I151" s="8">
        <v>863</v>
      </c>
      <c r="J151" s="8">
        <v>337</v>
      </c>
      <c r="K151" s="8">
        <v>819</v>
      </c>
      <c r="L151" s="7">
        <v>85788</v>
      </c>
      <c r="M151" s="3">
        <v>68625</v>
      </c>
      <c r="N151" s="3" t="s">
        <v>30</v>
      </c>
    </row>
    <row r="152" spans="1:14" ht="14.25" customHeight="1" x14ac:dyDescent="0.3">
      <c r="A152" s="3" t="s">
        <v>279</v>
      </c>
      <c r="B152" s="3" t="s">
        <v>541</v>
      </c>
      <c r="C152" s="6" t="s">
        <v>144</v>
      </c>
      <c r="D152" s="3" t="s">
        <v>28</v>
      </c>
      <c r="E152" s="3" t="s">
        <v>83</v>
      </c>
      <c r="F152" s="3" t="s">
        <v>83</v>
      </c>
      <c r="G152" s="3"/>
      <c r="H152" s="8">
        <v>18282</v>
      </c>
      <c r="I152" s="8">
        <v>224</v>
      </c>
      <c r="J152" s="8">
        <v>962</v>
      </c>
      <c r="K152" s="8">
        <v>890</v>
      </c>
      <c r="L152" s="7">
        <v>35105</v>
      </c>
      <c r="M152" s="3">
        <v>64089</v>
      </c>
      <c r="N152" s="3" t="s">
        <v>30</v>
      </c>
    </row>
    <row r="153" spans="1:14" ht="14.25" customHeight="1" x14ac:dyDescent="0.3">
      <c r="A153" s="3" t="s">
        <v>280</v>
      </c>
      <c r="B153" s="3" t="s">
        <v>541</v>
      </c>
      <c r="C153" s="6">
        <v>45934</v>
      </c>
      <c r="D153" s="3" t="s">
        <v>28</v>
      </c>
      <c r="E153" s="3" t="s">
        <v>167</v>
      </c>
      <c r="F153" s="3" t="s">
        <v>558</v>
      </c>
      <c r="G153" s="3" t="s">
        <v>559</v>
      </c>
      <c r="H153" s="8">
        <v>12488</v>
      </c>
      <c r="I153" s="8">
        <v>1403</v>
      </c>
      <c r="J153" s="8">
        <v>247</v>
      </c>
      <c r="K153" s="8">
        <v>1350</v>
      </c>
      <c r="L153" s="7">
        <v>28370</v>
      </c>
      <c r="M153" s="3">
        <v>76487</v>
      </c>
      <c r="N153" s="3" t="s">
        <v>19</v>
      </c>
    </row>
    <row r="154" spans="1:14" ht="14.25" customHeight="1" x14ac:dyDescent="0.3">
      <c r="A154" s="3" t="s">
        <v>281</v>
      </c>
      <c r="B154" s="3" t="s">
        <v>21</v>
      </c>
      <c r="C154" s="6" t="s">
        <v>282</v>
      </c>
      <c r="D154" s="3" t="s">
        <v>28</v>
      </c>
      <c r="E154" s="3" t="s">
        <v>18</v>
      </c>
      <c r="F154" s="3" t="s">
        <v>545</v>
      </c>
      <c r="G154" s="3" t="s">
        <v>546</v>
      </c>
      <c r="H154" s="8">
        <v>24574</v>
      </c>
      <c r="I154" s="8">
        <v>909</v>
      </c>
      <c r="J154" s="8">
        <v>280</v>
      </c>
      <c r="K154" s="8">
        <v>2009</v>
      </c>
      <c r="L154" s="7">
        <v>6221</v>
      </c>
      <c r="M154" s="3">
        <v>236910</v>
      </c>
      <c r="N154" s="3" t="s">
        <v>53</v>
      </c>
    </row>
    <row r="155" spans="1:14" ht="14.25" customHeight="1" x14ac:dyDescent="0.3">
      <c r="A155" s="3" t="s">
        <v>283</v>
      </c>
      <c r="B155" s="3" t="s">
        <v>541</v>
      </c>
      <c r="C155" s="6" t="s">
        <v>284</v>
      </c>
      <c r="D155" s="3" t="s">
        <v>28</v>
      </c>
      <c r="E155" s="3" t="s">
        <v>46</v>
      </c>
      <c r="F155" s="3" t="s">
        <v>555</v>
      </c>
      <c r="G155" s="3" t="s">
        <v>549</v>
      </c>
      <c r="H155" s="8">
        <v>7240</v>
      </c>
      <c r="I155" s="8">
        <v>1384</v>
      </c>
      <c r="J155" s="8">
        <v>954</v>
      </c>
      <c r="K155" s="8">
        <v>2335</v>
      </c>
      <c r="L155" s="7">
        <v>6757</v>
      </c>
      <c r="M155" s="3">
        <v>150448</v>
      </c>
      <c r="N155" s="3" t="s">
        <v>25</v>
      </c>
    </row>
    <row r="156" spans="1:14" ht="14.25" customHeight="1" x14ac:dyDescent="0.3">
      <c r="A156" s="3" t="s">
        <v>285</v>
      </c>
      <c r="B156" s="3" t="s">
        <v>21</v>
      </c>
      <c r="C156" s="6" t="s">
        <v>286</v>
      </c>
      <c r="D156" s="3" t="s">
        <v>14</v>
      </c>
      <c r="E156" s="3" t="s">
        <v>15</v>
      </c>
      <c r="F156" s="3" t="s">
        <v>543</v>
      </c>
      <c r="G156" s="3" t="s">
        <v>544</v>
      </c>
      <c r="H156" s="8">
        <v>12453</v>
      </c>
      <c r="I156" s="8">
        <v>376</v>
      </c>
      <c r="J156" s="8">
        <v>320</v>
      </c>
      <c r="K156" s="8">
        <v>2546</v>
      </c>
      <c r="L156" s="7">
        <v>22617</v>
      </c>
      <c r="M156" s="3">
        <v>90138</v>
      </c>
      <c r="N156" s="3" t="s">
        <v>25</v>
      </c>
    </row>
    <row r="157" spans="1:14" ht="14.25" customHeight="1" x14ac:dyDescent="0.3">
      <c r="A157" s="3" t="s">
        <v>287</v>
      </c>
      <c r="B157" s="3" t="s">
        <v>44</v>
      </c>
      <c r="C157" s="6" t="s">
        <v>288</v>
      </c>
      <c r="D157" s="3" t="s">
        <v>23</v>
      </c>
      <c r="E157" s="3" t="s">
        <v>37</v>
      </c>
      <c r="F157" s="3" t="s">
        <v>551</v>
      </c>
      <c r="G157" s="3" t="s">
        <v>552</v>
      </c>
      <c r="H157" s="8">
        <v>12478</v>
      </c>
      <c r="I157" s="8">
        <v>484</v>
      </c>
      <c r="J157" s="8">
        <v>332</v>
      </c>
      <c r="K157" s="8">
        <v>2734</v>
      </c>
      <c r="L157" s="7">
        <v>43338</v>
      </c>
      <c r="M157" s="3">
        <v>213895</v>
      </c>
      <c r="N157" s="3" t="s">
        <v>30</v>
      </c>
    </row>
    <row r="158" spans="1:14" ht="14.25" customHeight="1" x14ac:dyDescent="0.3">
      <c r="A158" s="3" t="s">
        <v>289</v>
      </c>
      <c r="B158" s="3" t="s">
        <v>541</v>
      </c>
      <c r="C158" s="6" t="s">
        <v>290</v>
      </c>
      <c r="D158" s="3" t="s">
        <v>28</v>
      </c>
      <c r="E158" s="3" t="s">
        <v>68</v>
      </c>
      <c r="F158" s="3" t="s">
        <v>557</v>
      </c>
      <c r="G158" s="3" t="s">
        <v>33</v>
      </c>
      <c r="H158" s="8">
        <v>24877</v>
      </c>
      <c r="I158" s="8">
        <v>262</v>
      </c>
      <c r="J158" s="8">
        <v>513</v>
      </c>
      <c r="K158" s="8">
        <v>648</v>
      </c>
      <c r="L158" s="7">
        <v>47544</v>
      </c>
      <c r="M158" s="3">
        <v>208280</v>
      </c>
      <c r="N158" s="3" t="s">
        <v>25</v>
      </c>
    </row>
    <row r="159" spans="1:14" ht="14.25" customHeight="1" x14ac:dyDescent="0.3">
      <c r="A159" s="3" t="s">
        <v>291</v>
      </c>
      <c r="B159" s="3" t="s">
        <v>44</v>
      </c>
      <c r="C159" s="6" t="s">
        <v>292</v>
      </c>
      <c r="D159" s="3" t="s">
        <v>36</v>
      </c>
      <c r="E159" s="3" t="s">
        <v>18</v>
      </c>
      <c r="F159" s="3" t="s">
        <v>545</v>
      </c>
      <c r="G159" s="3" t="s">
        <v>546</v>
      </c>
      <c r="H159" s="8">
        <v>14394</v>
      </c>
      <c r="I159" s="8">
        <v>1202</v>
      </c>
      <c r="J159" s="8">
        <v>188</v>
      </c>
      <c r="K159" s="8">
        <v>1259</v>
      </c>
      <c r="L159" s="7">
        <v>21925</v>
      </c>
      <c r="M159" s="3">
        <v>94061</v>
      </c>
      <c r="N159" s="3" t="s">
        <v>30</v>
      </c>
    </row>
    <row r="160" spans="1:14" ht="14.25" customHeight="1" x14ac:dyDescent="0.3">
      <c r="A160" s="3" t="s">
        <v>293</v>
      </c>
      <c r="B160" s="3" t="s">
        <v>21</v>
      </c>
      <c r="C160" s="6">
        <v>45935</v>
      </c>
      <c r="D160" s="3" t="s">
        <v>23</v>
      </c>
      <c r="E160" s="3" t="s">
        <v>37</v>
      </c>
      <c r="F160" s="3" t="s">
        <v>551</v>
      </c>
      <c r="G160" s="3" t="s">
        <v>552</v>
      </c>
      <c r="H160" s="8">
        <v>21262</v>
      </c>
      <c r="I160" s="8">
        <v>861</v>
      </c>
      <c r="J160" s="8">
        <v>676</v>
      </c>
      <c r="K160" s="8">
        <v>2263</v>
      </c>
      <c r="L160" s="7">
        <v>12085</v>
      </c>
      <c r="M160" s="3">
        <v>201731</v>
      </c>
      <c r="N160" s="3" t="s">
        <v>19</v>
      </c>
    </row>
    <row r="161" spans="1:14" ht="14.25" customHeight="1" x14ac:dyDescent="0.3">
      <c r="A161" s="3" t="s">
        <v>294</v>
      </c>
      <c r="B161" s="3" t="s">
        <v>542</v>
      </c>
      <c r="C161" s="6" t="s">
        <v>295</v>
      </c>
      <c r="D161" s="3" t="s">
        <v>23</v>
      </c>
      <c r="E161" s="3" t="s">
        <v>68</v>
      </c>
      <c r="F161" s="3" t="s">
        <v>557</v>
      </c>
      <c r="G161" s="3" t="s">
        <v>33</v>
      </c>
      <c r="H161" s="8">
        <v>22527</v>
      </c>
      <c r="I161" s="8">
        <v>865</v>
      </c>
      <c r="J161" s="8">
        <v>646</v>
      </c>
      <c r="K161" s="8">
        <v>992</v>
      </c>
      <c r="L161" s="7">
        <v>18654</v>
      </c>
      <c r="M161" s="3">
        <v>141376</v>
      </c>
      <c r="N161" s="3" t="s">
        <v>53</v>
      </c>
    </row>
    <row r="162" spans="1:14" ht="14.25" customHeight="1" x14ac:dyDescent="0.3">
      <c r="A162" s="3" t="s">
        <v>296</v>
      </c>
      <c r="B162" s="3" t="s">
        <v>541</v>
      </c>
      <c r="C162" s="6">
        <v>45936</v>
      </c>
      <c r="D162" s="3" t="s">
        <v>28</v>
      </c>
      <c r="E162" s="3" t="s">
        <v>24</v>
      </c>
      <c r="F162" s="3" t="s">
        <v>547</v>
      </c>
      <c r="G162" s="3" t="s">
        <v>548</v>
      </c>
      <c r="H162" s="8">
        <v>22028</v>
      </c>
      <c r="I162" s="8">
        <v>355</v>
      </c>
      <c r="J162" s="8">
        <v>665</v>
      </c>
      <c r="K162" s="8">
        <v>1859</v>
      </c>
      <c r="L162" s="7">
        <v>50565</v>
      </c>
      <c r="M162" s="3">
        <v>202962</v>
      </c>
      <c r="N162" s="3" t="s">
        <v>19</v>
      </c>
    </row>
    <row r="163" spans="1:14" ht="14.25" customHeight="1" x14ac:dyDescent="0.3">
      <c r="A163" s="3" t="s">
        <v>297</v>
      </c>
      <c r="B163" s="3" t="s">
        <v>21</v>
      </c>
      <c r="C163" s="6" t="s">
        <v>298</v>
      </c>
      <c r="D163" s="3" t="s">
        <v>14</v>
      </c>
      <c r="E163" s="3" t="s">
        <v>37</v>
      </c>
      <c r="F163" s="3" t="s">
        <v>551</v>
      </c>
      <c r="G163" s="3" t="s">
        <v>552</v>
      </c>
      <c r="H163" s="8">
        <v>6432</v>
      </c>
      <c r="I163" s="8">
        <v>1272</v>
      </c>
      <c r="J163" s="8">
        <v>498</v>
      </c>
      <c r="K163" s="8">
        <v>677</v>
      </c>
      <c r="L163" s="7">
        <v>47305</v>
      </c>
      <c r="M163" s="3">
        <v>119134</v>
      </c>
      <c r="N163" s="3" t="s">
        <v>16</v>
      </c>
    </row>
    <row r="164" spans="1:14" ht="14.25" customHeight="1" x14ac:dyDescent="0.3">
      <c r="A164" s="3" t="s">
        <v>299</v>
      </c>
      <c r="B164" s="3" t="s">
        <v>542</v>
      </c>
      <c r="C164" s="6" t="s">
        <v>300</v>
      </c>
      <c r="D164" s="3" t="s">
        <v>28</v>
      </c>
      <c r="E164" s="3" t="s">
        <v>15</v>
      </c>
      <c r="F164" s="3" t="s">
        <v>543</v>
      </c>
      <c r="G164" s="3" t="s">
        <v>544</v>
      </c>
      <c r="H164" s="8">
        <v>15568</v>
      </c>
      <c r="I164" s="8">
        <v>1166</v>
      </c>
      <c r="J164" s="8">
        <v>546</v>
      </c>
      <c r="K164" s="8">
        <v>826</v>
      </c>
      <c r="L164" s="7">
        <v>21836</v>
      </c>
      <c r="M164" s="3">
        <v>87055</v>
      </c>
      <c r="N164" s="3" t="s">
        <v>16</v>
      </c>
    </row>
    <row r="165" spans="1:14" ht="14.25" customHeight="1" x14ac:dyDescent="0.3">
      <c r="A165" s="3" t="s">
        <v>301</v>
      </c>
      <c r="B165" s="3" t="s">
        <v>542</v>
      </c>
      <c r="C165" s="6" t="s">
        <v>70</v>
      </c>
      <c r="D165" s="3" t="s">
        <v>14</v>
      </c>
      <c r="E165" s="3" t="s">
        <v>18</v>
      </c>
      <c r="F165" s="3" t="s">
        <v>545</v>
      </c>
      <c r="G165" s="3" t="s">
        <v>546</v>
      </c>
      <c r="H165" s="8">
        <v>16178</v>
      </c>
      <c r="I165" s="8">
        <v>1048</v>
      </c>
      <c r="J165" s="8">
        <v>871</v>
      </c>
      <c r="K165" s="8">
        <v>2553</v>
      </c>
      <c r="L165" s="7">
        <v>39025</v>
      </c>
      <c r="M165" s="3">
        <v>59508</v>
      </c>
      <c r="N165" s="3" t="s">
        <v>16</v>
      </c>
    </row>
    <row r="166" spans="1:14" ht="14.25" customHeight="1" x14ac:dyDescent="0.3">
      <c r="A166" s="3" t="s">
        <v>302</v>
      </c>
      <c r="B166" s="3" t="s">
        <v>44</v>
      </c>
      <c r="C166" s="6">
        <v>45937</v>
      </c>
      <c r="D166" s="3" t="s">
        <v>36</v>
      </c>
      <c r="E166" s="3" t="s">
        <v>40</v>
      </c>
      <c r="F166" s="3" t="s">
        <v>553</v>
      </c>
      <c r="G166" s="3" t="s">
        <v>554</v>
      </c>
      <c r="H166" s="8">
        <v>19660</v>
      </c>
      <c r="I166" s="8">
        <v>1307</v>
      </c>
      <c r="J166" s="8">
        <v>310</v>
      </c>
      <c r="K166" s="8">
        <v>2802</v>
      </c>
      <c r="L166" s="7">
        <v>22171</v>
      </c>
      <c r="M166" s="3">
        <v>213359</v>
      </c>
      <c r="N166" s="3" t="s">
        <v>19</v>
      </c>
    </row>
    <row r="167" spans="1:14" ht="14.25" customHeight="1" x14ac:dyDescent="0.3">
      <c r="A167" s="3" t="s">
        <v>303</v>
      </c>
      <c r="B167" s="3" t="s">
        <v>21</v>
      </c>
      <c r="C167" s="6" t="s">
        <v>304</v>
      </c>
      <c r="D167" s="3" t="s">
        <v>23</v>
      </c>
      <c r="E167" s="3" t="s">
        <v>60</v>
      </c>
      <c r="F167" s="3" t="s">
        <v>549</v>
      </c>
      <c r="G167" s="3" t="s">
        <v>556</v>
      </c>
      <c r="H167" s="8">
        <v>24195</v>
      </c>
      <c r="I167" s="8">
        <v>888</v>
      </c>
      <c r="J167" s="8">
        <v>165</v>
      </c>
      <c r="K167" s="8">
        <v>1559</v>
      </c>
      <c r="L167" s="7">
        <v>11596</v>
      </c>
      <c r="M167" s="3">
        <v>249988</v>
      </c>
      <c r="N167" s="3" t="s">
        <v>25</v>
      </c>
    </row>
    <row r="168" spans="1:14" ht="14.25" customHeight="1" x14ac:dyDescent="0.3">
      <c r="A168" s="3" t="s">
        <v>305</v>
      </c>
      <c r="B168" s="3" t="s">
        <v>542</v>
      </c>
      <c r="C168" s="6" t="s">
        <v>257</v>
      </c>
      <c r="D168" s="3" t="s">
        <v>36</v>
      </c>
      <c r="E168" s="3" t="s">
        <v>60</v>
      </c>
      <c r="F168" s="3" t="s">
        <v>549</v>
      </c>
      <c r="G168" s="3" t="s">
        <v>556</v>
      </c>
      <c r="H168" s="8">
        <v>2302</v>
      </c>
      <c r="I168" s="8">
        <v>347</v>
      </c>
      <c r="J168" s="8">
        <v>642</v>
      </c>
      <c r="K168" s="8">
        <v>2175</v>
      </c>
      <c r="L168" s="7">
        <v>56378</v>
      </c>
      <c r="M168" s="3">
        <v>198056</v>
      </c>
      <c r="N168" s="3" t="s">
        <v>53</v>
      </c>
    </row>
    <row r="169" spans="1:14" ht="14.25" customHeight="1" x14ac:dyDescent="0.3">
      <c r="A169" s="3" t="s">
        <v>306</v>
      </c>
      <c r="B169" s="3" t="s">
        <v>541</v>
      </c>
      <c r="C169" s="6" t="s">
        <v>307</v>
      </c>
      <c r="D169" s="3" t="s">
        <v>14</v>
      </c>
      <c r="E169" s="3" t="s">
        <v>18</v>
      </c>
      <c r="F169" s="3" t="s">
        <v>545</v>
      </c>
      <c r="G169" s="3" t="s">
        <v>546</v>
      </c>
      <c r="H169" s="8">
        <v>19022</v>
      </c>
      <c r="I169" s="8">
        <v>541</v>
      </c>
      <c r="J169" s="8">
        <v>575</v>
      </c>
      <c r="K169" s="8">
        <v>2063</v>
      </c>
      <c r="L169" s="7">
        <v>42743</v>
      </c>
      <c r="M169" s="3">
        <v>150169</v>
      </c>
      <c r="N169" s="3" t="s">
        <v>16</v>
      </c>
    </row>
    <row r="170" spans="1:14" ht="14.25" customHeight="1" x14ac:dyDescent="0.3">
      <c r="A170" s="3" t="s">
        <v>308</v>
      </c>
      <c r="B170" s="3" t="s">
        <v>541</v>
      </c>
      <c r="C170" s="6" t="s">
        <v>309</v>
      </c>
      <c r="D170" s="3" t="s">
        <v>14</v>
      </c>
      <c r="E170" s="3" t="s">
        <v>37</v>
      </c>
      <c r="F170" s="3" t="s">
        <v>551</v>
      </c>
      <c r="G170" s="3" t="s">
        <v>552</v>
      </c>
      <c r="H170" s="8">
        <v>2055</v>
      </c>
      <c r="I170" s="8">
        <v>675</v>
      </c>
      <c r="J170" s="8">
        <v>257</v>
      </c>
      <c r="K170" s="8">
        <v>820</v>
      </c>
      <c r="L170" s="7">
        <v>33534</v>
      </c>
      <c r="M170" s="3">
        <v>48125</v>
      </c>
      <c r="N170" s="3" t="s">
        <v>16</v>
      </c>
    </row>
    <row r="171" spans="1:14" ht="14.25" customHeight="1" x14ac:dyDescent="0.3">
      <c r="A171" s="3" t="s">
        <v>310</v>
      </c>
      <c r="B171" s="3" t="s">
        <v>44</v>
      </c>
      <c r="C171" s="6" t="s">
        <v>311</v>
      </c>
      <c r="D171" s="3" t="s">
        <v>36</v>
      </c>
      <c r="E171" s="3" t="s">
        <v>68</v>
      </c>
      <c r="F171" s="3" t="s">
        <v>557</v>
      </c>
      <c r="G171" s="3" t="s">
        <v>33</v>
      </c>
      <c r="H171" s="8">
        <v>15013</v>
      </c>
      <c r="I171" s="8">
        <v>1286</v>
      </c>
      <c r="J171" s="8">
        <v>599</v>
      </c>
      <c r="K171" s="8">
        <v>2001</v>
      </c>
      <c r="L171" s="7">
        <v>67839</v>
      </c>
      <c r="M171" s="3">
        <v>76059</v>
      </c>
      <c r="N171" s="3" t="s">
        <v>16</v>
      </c>
    </row>
    <row r="172" spans="1:14" ht="14.25" customHeight="1" x14ac:dyDescent="0.3">
      <c r="A172" s="3" t="s">
        <v>312</v>
      </c>
      <c r="B172" s="3" t="s">
        <v>542</v>
      </c>
      <c r="C172" s="6" t="s">
        <v>313</v>
      </c>
      <c r="D172" s="3" t="s">
        <v>14</v>
      </c>
      <c r="E172" s="3" t="s">
        <v>15</v>
      </c>
      <c r="F172" s="3" t="s">
        <v>543</v>
      </c>
      <c r="G172" s="3" t="s">
        <v>544</v>
      </c>
      <c r="H172" s="8">
        <v>10717</v>
      </c>
      <c r="I172" s="8">
        <v>760</v>
      </c>
      <c r="J172" s="8">
        <v>460</v>
      </c>
      <c r="K172" s="8">
        <v>1316</v>
      </c>
      <c r="L172" s="7">
        <v>18164</v>
      </c>
      <c r="M172" s="3">
        <v>240641</v>
      </c>
      <c r="N172" s="3" t="s">
        <v>53</v>
      </c>
    </row>
    <row r="173" spans="1:14" ht="14.25" customHeight="1" x14ac:dyDescent="0.3">
      <c r="A173" s="3" t="s">
        <v>314</v>
      </c>
      <c r="B173" s="3" t="s">
        <v>21</v>
      </c>
      <c r="C173" s="6" t="s">
        <v>315</v>
      </c>
      <c r="D173" s="3" t="s">
        <v>36</v>
      </c>
      <c r="E173" s="3" t="s">
        <v>167</v>
      </c>
      <c r="F173" s="3" t="s">
        <v>558</v>
      </c>
      <c r="G173" s="3" t="s">
        <v>559</v>
      </c>
      <c r="H173" s="8">
        <v>10150</v>
      </c>
      <c r="I173" s="8">
        <v>526</v>
      </c>
      <c r="J173" s="8">
        <v>888</v>
      </c>
      <c r="K173" s="8">
        <v>1313</v>
      </c>
      <c r="L173" s="7">
        <v>51605</v>
      </c>
      <c r="M173" s="3">
        <v>143409</v>
      </c>
      <c r="N173" s="3" t="s">
        <v>16</v>
      </c>
    </row>
    <row r="174" spans="1:14" ht="14.25" customHeight="1" x14ac:dyDescent="0.3">
      <c r="A174" s="3" t="s">
        <v>316</v>
      </c>
      <c r="B174" s="3" t="s">
        <v>541</v>
      </c>
      <c r="C174" s="6" t="s">
        <v>317</v>
      </c>
      <c r="D174" s="3" t="s">
        <v>23</v>
      </c>
      <c r="E174" s="3" t="s">
        <v>60</v>
      </c>
      <c r="F174" s="3" t="s">
        <v>549</v>
      </c>
      <c r="G174" s="3" t="s">
        <v>556</v>
      </c>
      <c r="H174" s="8">
        <v>4125</v>
      </c>
      <c r="I174" s="8">
        <v>1364</v>
      </c>
      <c r="J174" s="8">
        <v>319</v>
      </c>
      <c r="K174" s="8">
        <v>2848</v>
      </c>
      <c r="L174" s="7">
        <v>15379</v>
      </c>
      <c r="M174" s="3">
        <v>188159</v>
      </c>
      <c r="N174" s="3" t="s">
        <v>53</v>
      </c>
    </row>
    <row r="175" spans="1:14" ht="14.25" customHeight="1" x14ac:dyDescent="0.3">
      <c r="A175" s="3" t="s">
        <v>318</v>
      </c>
      <c r="B175" s="3" t="s">
        <v>542</v>
      </c>
      <c r="C175" s="6" t="s">
        <v>132</v>
      </c>
      <c r="D175" s="3" t="s">
        <v>36</v>
      </c>
      <c r="E175" s="3" t="s">
        <v>15</v>
      </c>
      <c r="F175" s="3" t="s">
        <v>543</v>
      </c>
      <c r="G175" s="3" t="s">
        <v>544</v>
      </c>
      <c r="H175" s="8">
        <v>13479</v>
      </c>
      <c r="I175" s="8">
        <v>1189</v>
      </c>
      <c r="J175" s="8">
        <v>695</v>
      </c>
      <c r="K175" s="8">
        <v>416</v>
      </c>
      <c r="L175" s="7">
        <v>30229</v>
      </c>
      <c r="M175" s="3">
        <v>45704</v>
      </c>
      <c r="N175" s="3" t="s">
        <v>16</v>
      </c>
    </row>
    <row r="176" spans="1:14" ht="14.25" customHeight="1" x14ac:dyDescent="0.3">
      <c r="A176" s="3" t="s">
        <v>319</v>
      </c>
      <c r="B176" s="3" t="s">
        <v>542</v>
      </c>
      <c r="C176" s="6">
        <v>45938</v>
      </c>
      <c r="D176" s="3" t="s">
        <v>23</v>
      </c>
      <c r="E176" s="3" t="s">
        <v>60</v>
      </c>
      <c r="F176" s="3" t="s">
        <v>549</v>
      </c>
      <c r="G176" s="3" t="s">
        <v>556</v>
      </c>
      <c r="H176" s="8">
        <v>17745</v>
      </c>
      <c r="I176" s="8">
        <v>414</v>
      </c>
      <c r="J176" s="8">
        <v>563</v>
      </c>
      <c r="K176" s="8">
        <v>2733</v>
      </c>
      <c r="L176" s="7">
        <v>995</v>
      </c>
      <c r="M176" s="3">
        <v>231648</v>
      </c>
      <c r="N176" s="3" t="s">
        <v>19</v>
      </c>
    </row>
    <row r="177" spans="1:14" ht="14.25" customHeight="1" x14ac:dyDescent="0.3">
      <c r="A177" s="3" t="s">
        <v>320</v>
      </c>
      <c r="B177" s="3" t="s">
        <v>44</v>
      </c>
      <c r="C177" s="6">
        <v>45939</v>
      </c>
      <c r="D177" s="3" t="s">
        <v>36</v>
      </c>
      <c r="E177" s="3" t="s">
        <v>24</v>
      </c>
      <c r="F177" s="3" t="s">
        <v>547</v>
      </c>
      <c r="G177" s="3" t="s">
        <v>548</v>
      </c>
      <c r="H177" s="8">
        <v>18748</v>
      </c>
      <c r="I177" s="8">
        <v>634</v>
      </c>
      <c r="J177" s="8">
        <v>400</v>
      </c>
      <c r="K177" s="8">
        <v>1667</v>
      </c>
      <c r="L177" s="7">
        <v>75813</v>
      </c>
      <c r="M177" s="3">
        <v>244456</v>
      </c>
      <c r="N177" s="3" t="s">
        <v>19</v>
      </c>
    </row>
    <row r="178" spans="1:14" ht="14.25" customHeight="1" x14ac:dyDescent="0.3">
      <c r="A178" s="3" t="s">
        <v>321</v>
      </c>
      <c r="B178" s="3" t="s">
        <v>541</v>
      </c>
      <c r="C178" s="6" t="s">
        <v>322</v>
      </c>
      <c r="D178" s="3" t="s">
        <v>14</v>
      </c>
      <c r="E178" s="3" t="s">
        <v>68</v>
      </c>
      <c r="F178" s="3" t="s">
        <v>557</v>
      </c>
      <c r="G178" s="3" t="s">
        <v>33</v>
      </c>
      <c r="H178" s="8">
        <v>8809</v>
      </c>
      <c r="I178" s="8">
        <v>1151</v>
      </c>
      <c r="J178" s="8">
        <v>908</v>
      </c>
      <c r="K178" s="8">
        <v>883</v>
      </c>
      <c r="L178" s="7">
        <v>42921</v>
      </c>
      <c r="M178" s="3">
        <v>151279</v>
      </c>
      <c r="N178" s="3" t="s">
        <v>53</v>
      </c>
    </row>
    <row r="179" spans="1:14" ht="14.25" customHeight="1" x14ac:dyDescent="0.3">
      <c r="A179" s="3" t="s">
        <v>323</v>
      </c>
      <c r="B179" s="3" t="s">
        <v>541</v>
      </c>
      <c r="C179" s="6">
        <v>45940</v>
      </c>
      <c r="D179" s="3" t="s">
        <v>36</v>
      </c>
      <c r="E179" s="3" t="s">
        <v>24</v>
      </c>
      <c r="F179" s="3" t="s">
        <v>547</v>
      </c>
      <c r="G179" s="3" t="s">
        <v>548</v>
      </c>
      <c r="H179" s="8">
        <v>6621</v>
      </c>
      <c r="I179" s="8">
        <v>922</v>
      </c>
      <c r="J179" s="8">
        <v>930</v>
      </c>
      <c r="K179" s="8">
        <v>694</v>
      </c>
      <c r="L179" s="7">
        <v>839</v>
      </c>
      <c r="M179" s="3">
        <v>243532</v>
      </c>
      <c r="N179" s="3" t="s">
        <v>19</v>
      </c>
    </row>
    <row r="180" spans="1:14" ht="14.25" customHeight="1" x14ac:dyDescent="0.3">
      <c r="A180" s="3" t="s">
        <v>324</v>
      </c>
      <c r="B180" s="3" t="s">
        <v>21</v>
      </c>
      <c r="C180" s="6" t="s">
        <v>264</v>
      </c>
      <c r="D180" s="3" t="s">
        <v>14</v>
      </c>
      <c r="E180" s="3" t="s">
        <v>60</v>
      </c>
      <c r="F180" s="3" t="s">
        <v>549</v>
      </c>
      <c r="G180" s="3" t="s">
        <v>556</v>
      </c>
      <c r="H180" s="8">
        <v>17034</v>
      </c>
      <c r="I180" s="8">
        <v>231</v>
      </c>
      <c r="J180" s="8">
        <v>290</v>
      </c>
      <c r="K180" s="8">
        <v>1387</v>
      </c>
      <c r="L180" s="7">
        <v>63550</v>
      </c>
      <c r="M180" s="3">
        <v>198280</v>
      </c>
      <c r="N180" s="3" t="s">
        <v>53</v>
      </c>
    </row>
    <row r="181" spans="1:14" ht="14.25" customHeight="1" x14ac:dyDescent="0.3">
      <c r="A181" s="3" t="s">
        <v>325</v>
      </c>
      <c r="B181" s="3" t="s">
        <v>541</v>
      </c>
      <c r="C181" s="6">
        <v>45941</v>
      </c>
      <c r="D181" s="3" t="s">
        <v>36</v>
      </c>
      <c r="E181" s="3" t="s">
        <v>40</v>
      </c>
      <c r="F181" s="3" t="s">
        <v>553</v>
      </c>
      <c r="G181" s="3" t="s">
        <v>554</v>
      </c>
      <c r="H181" s="8">
        <v>15623</v>
      </c>
      <c r="I181" s="8">
        <v>869</v>
      </c>
      <c r="J181" s="8">
        <v>423</v>
      </c>
      <c r="K181" s="8">
        <v>371</v>
      </c>
      <c r="L181" s="7">
        <v>47579</v>
      </c>
      <c r="M181" s="3">
        <v>158516</v>
      </c>
      <c r="N181" s="3" t="s">
        <v>19</v>
      </c>
    </row>
    <row r="182" spans="1:14" ht="14.25" customHeight="1" x14ac:dyDescent="0.3">
      <c r="A182" s="3" t="s">
        <v>326</v>
      </c>
      <c r="B182" s="3" t="s">
        <v>21</v>
      </c>
      <c r="C182" s="6">
        <v>45942</v>
      </c>
      <c r="D182" s="3" t="s">
        <v>36</v>
      </c>
      <c r="E182" s="3" t="s">
        <v>40</v>
      </c>
      <c r="F182" s="3" t="s">
        <v>553</v>
      </c>
      <c r="G182" s="3" t="s">
        <v>554</v>
      </c>
      <c r="H182" s="8">
        <v>7126</v>
      </c>
      <c r="I182" s="8">
        <v>484</v>
      </c>
      <c r="J182" s="8">
        <v>565</v>
      </c>
      <c r="K182" s="8">
        <v>573</v>
      </c>
      <c r="L182" s="7">
        <v>7389</v>
      </c>
      <c r="M182" s="3">
        <v>237096</v>
      </c>
      <c r="N182" s="3" t="s">
        <v>19</v>
      </c>
    </row>
    <row r="183" spans="1:14" ht="14.25" customHeight="1" x14ac:dyDescent="0.3">
      <c r="A183" s="3" t="s">
        <v>327</v>
      </c>
      <c r="B183" s="3" t="s">
        <v>541</v>
      </c>
      <c r="C183" s="6" t="s">
        <v>89</v>
      </c>
      <c r="D183" s="3" t="s">
        <v>28</v>
      </c>
      <c r="E183" s="3" t="s">
        <v>24</v>
      </c>
      <c r="F183" s="3" t="s">
        <v>547</v>
      </c>
      <c r="G183" s="3" t="s">
        <v>548</v>
      </c>
      <c r="H183" s="8">
        <v>7122</v>
      </c>
      <c r="I183" s="8">
        <v>628</v>
      </c>
      <c r="J183" s="8">
        <v>757</v>
      </c>
      <c r="K183" s="8">
        <v>2313</v>
      </c>
      <c r="L183" s="7">
        <v>50924</v>
      </c>
      <c r="M183" s="3">
        <v>210954</v>
      </c>
      <c r="N183" s="3" t="s">
        <v>53</v>
      </c>
    </row>
    <row r="184" spans="1:14" ht="14.25" customHeight="1" x14ac:dyDescent="0.3">
      <c r="A184" s="3" t="s">
        <v>328</v>
      </c>
      <c r="B184" s="3" t="s">
        <v>44</v>
      </c>
      <c r="C184" s="6" t="s">
        <v>329</v>
      </c>
      <c r="D184" s="3" t="s">
        <v>14</v>
      </c>
      <c r="E184" s="3" t="s">
        <v>40</v>
      </c>
      <c r="F184" s="3" t="s">
        <v>553</v>
      </c>
      <c r="G184" s="3" t="s">
        <v>554</v>
      </c>
      <c r="H184" s="8">
        <v>20030</v>
      </c>
      <c r="I184" s="8">
        <v>485</v>
      </c>
      <c r="J184" s="8">
        <v>888</v>
      </c>
      <c r="K184" s="8">
        <v>1643</v>
      </c>
      <c r="L184" s="7">
        <v>4322</v>
      </c>
      <c r="M184" s="3">
        <v>196995</v>
      </c>
      <c r="N184" s="3" t="s">
        <v>25</v>
      </c>
    </row>
    <row r="185" spans="1:14" ht="14.25" customHeight="1" x14ac:dyDescent="0.3">
      <c r="A185" s="3" t="s">
        <v>330</v>
      </c>
      <c r="B185" s="3" t="s">
        <v>541</v>
      </c>
      <c r="C185" s="6">
        <v>45943</v>
      </c>
      <c r="D185" s="3" t="s">
        <v>28</v>
      </c>
      <c r="E185" s="3" t="s">
        <v>60</v>
      </c>
      <c r="F185" s="3" t="s">
        <v>549</v>
      </c>
      <c r="G185" s="3" t="s">
        <v>556</v>
      </c>
      <c r="H185" s="8">
        <v>19302</v>
      </c>
      <c r="I185" s="8">
        <v>1367</v>
      </c>
      <c r="J185" s="8">
        <v>188</v>
      </c>
      <c r="K185" s="8">
        <v>637</v>
      </c>
      <c r="L185" s="7">
        <v>31404</v>
      </c>
      <c r="M185" s="3">
        <v>154044</v>
      </c>
      <c r="N185" s="3" t="s">
        <v>19</v>
      </c>
    </row>
    <row r="186" spans="1:14" ht="14.25" customHeight="1" x14ac:dyDescent="0.3">
      <c r="A186" s="3" t="s">
        <v>331</v>
      </c>
      <c r="B186" s="3" t="s">
        <v>21</v>
      </c>
      <c r="C186" s="6" t="s">
        <v>332</v>
      </c>
      <c r="D186" s="3" t="s">
        <v>14</v>
      </c>
      <c r="E186" s="3" t="s">
        <v>18</v>
      </c>
      <c r="F186" s="3" t="s">
        <v>545</v>
      </c>
      <c r="G186" s="3" t="s">
        <v>546</v>
      </c>
      <c r="H186" s="8">
        <v>21181</v>
      </c>
      <c r="I186" s="8">
        <v>1242</v>
      </c>
      <c r="J186" s="8">
        <v>963</v>
      </c>
      <c r="K186" s="8">
        <v>1689</v>
      </c>
      <c r="L186" s="7">
        <v>49329</v>
      </c>
      <c r="M186" s="3">
        <v>69165</v>
      </c>
      <c r="N186" s="3" t="s">
        <v>16</v>
      </c>
    </row>
    <row r="187" spans="1:14" ht="14.25" customHeight="1" x14ac:dyDescent="0.3">
      <c r="A187" s="3" t="s">
        <v>333</v>
      </c>
      <c r="B187" s="3" t="s">
        <v>21</v>
      </c>
      <c r="C187" s="6" t="s">
        <v>295</v>
      </c>
      <c r="D187" s="3" t="s">
        <v>28</v>
      </c>
      <c r="E187" s="3" t="s">
        <v>24</v>
      </c>
      <c r="F187" s="3" t="s">
        <v>547</v>
      </c>
      <c r="G187" s="3" t="s">
        <v>548</v>
      </c>
      <c r="H187" s="8">
        <v>24890</v>
      </c>
      <c r="I187" s="8">
        <v>217</v>
      </c>
      <c r="J187" s="8">
        <v>178</v>
      </c>
      <c r="K187" s="8">
        <v>906</v>
      </c>
      <c r="L187" s="7">
        <v>54826</v>
      </c>
      <c r="M187" s="3">
        <v>107203</v>
      </c>
      <c r="N187" s="3" t="s">
        <v>25</v>
      </c>
    </row>
    <row r="188" spans="1:14" ht="14.25" customHeight="1" x14ac:dyDescent="0.3">
      <c r="A188" s="3" t="s">
        <v>334</v>
      </c>
      <c r="B188" s="3" t="s">
        <v>44</v>
      </c>
      <c r="C188" s="6" t="s">
        <v>335</v>
      </c>
      <c r="D188" s="3" t="s">
        <v>23</v>
      </c>
      <c r="E188" s="3" t="s">
        <v>167</v>
      </c>
      <c r="F188" s="3" t="s">
        <v>558</v>
      </c>
      <c r="G188" s="3" t="s">
        <v>559</v>
      </c>
      <c r="H188" s="8">
        <v>7870</v>
      </c>
      <c r="I188" s="8">
        <v>968</v>
      </c>
      <c r="J188" s="8">
        <v>626</v>
      </c>
      <c r="K188" s="8">
        <v>465</v>
      </c>
      <c r="L188" s="7">
        <v>27184</v>
      </c>
      <c r="M188" s="3">
        <v>44114</v>
      </c>
      <c r="N188" s="3" t="s">
        <v>53</v>
      </c>
    </row>
    <row r="189" spans="1:14" ht="14.25" customHeight="1" x14ac:dyDescent="0.3">
      <c r="A189" s="3" t="s">
        <v>336</v>
      </c>
      <c r="B189" s="3" t="s">
        <v>541</v>
      </c>
      <c r="C189" s="6" t="s">
        <v>181</v>
      </c>
      <c r="D189" s="3" t="s">
        <v>36</v>
      </c>
      <c r="E189" s="3" t="s">
        <v>167</v>
      </c>
      <c r="F189" s="3" t="s">
        <v>558</v>
      </c>
      <c r="G189" s="3" t="s">
        <v>559</v>
      </c>
      <c r="H189" s="8">
        <v>3531</v>
      </c>
      <c r="I189" s="8">
        <v>789</v>
      </c>
      <c r="J189" s="8">
        <v>467</v>
      </c>
      <c r="K189" s="8">
        <v>1867</v>
      </c>
      <c r="L189" s="7">
        <v>40816</v>
      </c>
      <c r="M189" s="3">
        <v>236037</v>
      </c>
      <c r="N189" s="3" t="s">
        <v>25</v>
      </c>
    </row>
    <row r="190" spans="1:14" ht="14.25" customHeight="1" x14ac:dyDescent="0.3">
      <c r="A190" s="3" t="s">
        <v>337</v>
      </c>
      <c r="B190" s="3" t="s">
        <v>541</v>
      </c>
      <c r="C190" s="6" t="s">
        <v>338</v>
      </c>
      <c r="D190" s="3" t="s">
        <v>14</v>
      </c>
      <c r="E190" s="3" t="s">
        <v>33</v>
      </c>
      <c r="F190" s="3" t="s">
        <v>33</v>
      </c>
      <c r="G190" s="3"/>
      <c r="H190" s="8">
        <v>10172</v>
      </c>
      <c r="I190" s="8">
        <v>1398</v>
      </c>
      <c r="J190" s="8">
        <v>394</v>
      </c>
      <c r="K190" s="8">
        <v>2358</v>
      </c>
      <c r="L190" s="7">
        <v>59610</v>
      </c>
      <c r="M190" s="3">
        <v>76321</v>
      </c>
      <c r="N190" s="3" t="s">
        <v>30</v>
      </c>
    </row>
    <row r="191" spans="1:14" ht="14.25" customHeight="1" x14ac:dyDescent="0.3">
      <c r="A191" s="3" t="s">
        <v>339</v>
      </c>
      <c r="B191" s="3" t="s">
        <v>44</v>
      </c>
      <c r="C191" s="6" t="s">
        <v>340</v>
      </c>
      <c r="D191" s="3" t="s">
        <v>14</v>
      </c>
      <c r="E191" s="3" t="s">
        <v>37</v>
      </c>
      <c r="F191" s="3" t="s">
        <v>551</v>
      </c>
      <c r="G191" s="3" t="s">
        <v>552</v>
      </c>
      <c r="H191" s="8">
        <v>21729</v>
      </c>
      <c r="I191" s="8">
        <v>1209</v>
      </c>
      <c r="J191" s="8">
        <v>897</v>
      </c>
      <c r="K191" s="8">
        <v>1624</v>
      </c>
      <c r="L191" s="7">
        <v>38771</v>
      </c>
      <c r="M191" s="3">
        <v>113297</v>
      </c>
      <c r="N191" s="3" t="s">
        <v>30</v>
      </c>
    </row>
    <row r="192" spans="1:14" ht="14.25" customHeight="1" x14ac:dyDescent="0.3">
      <c r="A192" s="3" t="s">
        <v>341</v>
      </c>
      <c r="B192" s="3" t="s">
        <v>541</v>
      </c>
      <c r="C192" s="6">
        <v>45944</v>
      </c>
      <c r="D192" s="3" t="s">
        <v>36</v>
      </c>
      <c r="E192" s="3" t="s">
        <v>68</v>
      </c>
      <c r="F192" s="3" t="s">
        <v>557</v>
      </c>
      <c r="G192" s="3" t="s">
        <v>33</v>
      </c>
      <c r="H192" s="8">
        <v>9673</v>
      </c>
      <c r="I192" s="8">
        <v>393</v>
      </c>
      <c r="J192" s="8">
        <v>846</v>
      </c>
      <c r="K192" s="8">
        <v>1028</v>
      </c>
      <c r="L192" s="7">
        <v>55556</v>
      </c>
      <c r="M192" s="3">
        <v>136652</v>
      </c>
      <c r="N192" s="3" t="s">
        <v>19</v>
      </c>
    </row>
    <row r="193" spans="1:14" ht="14.25" customHeight="1" x14ac:dyDescent="0.3">
      <c r="A193" s="3" t="s">
        <v>342</v>
      </c>
      <c r="B193" s="3" t="s">
        <v>541</v>
      </c>
      <c r="C193" s="6">
        <v>45945</v>
      </c>
      <c r="D193" s="3" t="s">
        <v>14</v>
      </c>
      <c r="E193" s="3" t="s">
        <v>40</v>
      </c>
      <c r="F193" s="3" t="s">
        <v>553</v>
      </c>
      <c r="G193" s="3" t="s">
        <v>554</v>
      </c>
      <c r="H193" s="8">
        <v>8882</v>
      </c>
      <c r="I193" s="8">
        <v>701</v>
      </c>
      <c r="J193" s="8">
        <v>421</v>
      </c>
      <c r="K193" s="8">
        <v>2343</v>
      </c>
      <c r="L193" s="7">
        <v>13588</v>
      </c>
      <c r="M193" s="3">
        <v>139304</v>
      </c>
      <c r="N193" s="3" t="s">
        <v>19</v>
      </c>
    </row>
    <row r="194" spans="1:14" ht="14.25" customHeight="1" x14ac:dyDescent="0.3">
      <c r="A194" s="3" t="s">
        <v>343</v>
      </c>
      <c r="B194" s="3" t="s">
        <v>21</v>
      </c>
      <c r="C194" s="6" t="s">
        <v>344</v>
      </c>
      <c r="D194" s="3" t="s">
        <v>14</v>
      </c>
      <c r="E194" s="3" t="s">
        <v>40</v>
      </c>
      <c r="F194" s="3" t="s">
        <v>553</v>
      </c>
      <c r="G194" s="3" t="s">
        <v>554</v>
      </c>
      <c r="H194" s="8">
        <v>3906</v>
      </c>
      <c r="I194" s="8">
        <v>1187</v>
      </c>
      <c r="J194" s="8">
        <v>589</v>
      </c>
      <c r="K194" s="8">
        <v>401</v>
      </c>
      <c r="L194" s="7">
        <v>52687</v>
      </c>
      <c r="M194" s="3">
        <v>196498</v>
      </c>
      <c r="N194" s="3" t="s">
        <v>16</v>
      </c>
    </row>
    <row r="195" spans="1:14" ht="14.25" customHeight="1" x14ac:dyDescent="0.3">
      <c r="A195" s="3" t="s">
        <v>345</v>
      </c>
      <c r="B195" s="3" t="s">
        <v>541</v>
      </c>
      <c r="C195" s="6" t="s">
        <v>238</v>
      </c>
      <c r="D195" s="3" t="s">
        <v>28</v>
      </c>
      <c r="E195" s="3" t="s">
        <v>37</v>
      </c>
      <c r="F195" s="3" t="s">
        <v>551</v>
      </c>
      <c r="G195" s="3" t="s">
        <v>552</v>
      </c>
      <c r="H195" s="8">
        <v>5086</v>
      </c>
      <c r="I195" s="8">
        <v>1336</v>
      </c>
      <c r="J195" s="8">
        <v>897</v>
      </c>
      <c r="K195" s="8">
        <v>1715</v>
      </c>
      <c r="L195" s="7">
        <v>60592</v>
      </c>
      <c r="M195" s="3">
        <v>57772</v>
      </c>
      <c r="N195" s="3" t="s">
        <v>25</v>
      </c>
    </row>
    <row r="196" spans="1:14" ht="14.25" customHeight="1" x14ac:dyDescent="0.3">
      <c r="A196" s="3" t="s">
        <v>346</v>
      </c>
      <c r="B196" s="3" t="s">
        <v>541</v>
      </c>
      <c r="C196" s="6" t="s">
        <v>347</v>
      </c>
      <c r="D196" s="3" t="s">
        <v>14</v>
      </c>
      <c r="E196" s="3" t="s">
        <v>46</v>
      </c>
      <c r="F196" s="3" t="s">
        <v>555</v>
      </c>
      <c r="G196" s="3" t="s">
        <v>549</v>
      </c>
      <c r="H196" s="8">
        <v>15503</v>
      </c>
      <c r="I196" s="8">
        <v>313</v>
      </c>
      <c r="J196" s="8">
        <v>388</v>
      </c>
      <c r="K196" s="8">
        <v>1078</v>
      </c>
      <c r="L196" s="7">
        <v>11500</v>
      </c>
      <c r="M196" s="3">
        <v>143754</v>
      </c>
      <c r="N196" s="3" t="s">
        <v>30</v>
      </c>
    </row>
    <row r="197" spans="1:14" ht="14.25" customHeight="1" x14ac:dyDescent="0.3">
      <c r="A197" s="3" t="s">
        <v>348</v>
      </c>
      <c r="B197" s="3" t="s">
        <v>44</v>
      </c>
      <c r="C197" s="6">
        <v>45918</v>
      </c>
      <c r="D197" s="3" t="s">
        <v>23</v>
      </c>
      <c r="E197" s="3" t="s">
        <v>83</v>
      </c>
      <c r="F197" s="3" t="s">
        <v>83</v>
      </c>
      <c r="G197" s="3"/>
      <c r="H197" s="8">
        <v>10152</v>
      </c>
      <c r="I197" s="8">
        <v>1445</v>
      </c>
      <c r="J197" s="8">
        <v>526</v>
      </c>
      <c r="K197" s="8">
        <v>513</v>
      </c>
      <c r="L197" s="7">
        <v>18959</v>
      </c>
      <c r="M197" s="3">
        <v>43712</v>
      </c>
      <c r="N197" s="3" t="s">
        <v>19</v>
      </c>
    </row>
    <row r="198" spans="1:14" ht="14.25" customHeight="1" x14ac:dyDescent="0.3">
      <c r="A198" s="3" t="s">
        <v>349</v>
      </c>
      <c r="B198" s="3" t="s">
        <v>44</v>
      </c>
      <c r="C198" s="6" t="s">
        <v>288</v>
      </c>
      <c r="D198" s="3" t="s">
        <v>23</v>
      </c>
      <c r="E198" s="3" t="s">
        <v>24</v>
      </c>
      <c r="F198" s="3" t="s">
        <v>547</v>
      </c>
      <c r="G198" s="3" t="s">
        <v>548</v>
      </c>
      <c r="H198" s="8">
        <v>7750</v>
      </c>
      <c r="I198" s="8">
        <v>1146</v>
      </c>
      <c r="J198" s="8">
        <v>415</v>
      </c>
      <c r="K198" s="8">
        <v>1411</v>
      </c>
      <c r="L198" s="7">
        <v>85339</v>
      </c>
      <c r="M198" s="3">
        <v>172439</v>
      </c>
      <c r="N198" s="3" t="s">
        <v>25</v>
      </c>
    </row>
    <row r="199" spans="1:14" ht="14.25" customHeight="1" x14ac:dyDescent="0.3">
      <c r="A199" s="3" t="s">
        <v>350</v>
      </c>
      <c r="B199" s="3" t="s">
        <v>542</v>
      </c>
      <c r="C199" s="6">
        <v>45919</v>
      </c>
      <c r="D199" s="3" t="s">
        <v>36</v>
      </c>
      <c r="E199" s="3" t="s">
        <v>29</v>
      </c>
      <c r="F199" s="3" t="s">
        <v>549</v>
      </c>
      <c r="G199" s="3" t="s">
        <v>550</v>
      </c>
      <c r="H199" s="8">
        <v>14772</v>
      </c>
      <c r="I199" s="8">
        <v>1030</v>
      </c>
      <c r="J199" s="8">
        <v>508</v>
      </c>
      <c r="K199" s="8">
        <v>1876</v>
      </c>
      <c r="L199" s="7">
        <v>8882</v>
      </c>
      <c r="M199" s="3">
        <v>155142</v>
      </c>
      <c r="N199" s="3" t="s">
        <v>19</v>
      </c>
    </row>
    <row r="200" spans="1:14" ht="14.25" customHeight="1" x14ac:dyDescent="0.3">
      <c r="A200" s="3" t="s">
        <v>351</v>
      </c>
      <c r="B200" s="3" t="s">
        <v>21</v>
      </c>
      <c r="C200" s="6">
        <v>45920</v>
      </c>
      <c r="D200" s="3" t="s">
        <v>14</v>
      </c>
      <c r="E200" s="3" t="s">
        <v>40</v>
      </c>
      <c r="F200" s="3" t="s">
        <v>553</v>
      </c>
      <c r="G200" s="3" t="s">
        <v>554</v>
      </c>
      <c r="H200" s="8">
        <v>12267</v>
      </c>
      <c r="I200" s="8">
        <v>1487</v>
      </c>
      <c r="J200" s="8">
        <v>489</v>
      </c>
      <c r="K200" s="8">
        <v>2748</v>
      </c>
      <c r="L200" s="7">
        <v>34685</v>
      </c>
      <c r="M200" s="3">
        <v>131736</v>
      </c>
      <c r="N200" s="3" t="s">
        <v>19</v>
      </c>
    </row>
    <row r="201" spans="1:14" ht="14.25" customHeight="1" x14ac:dyDescent="0.3">
      <c r="A201" s="3" t="s">
        <v>352</v>
      </c>
      <c r="B201" s="3" t="s">
        <v>541</v>
      </c>
      <c r="C201" s="6" t="s">
        <v>353</v>
      </c>
      <c r="D201" s="3" t="s">
        <v>36</v>
      </c>
      <c r="E201" s="3" t="s">
        <v>68</v>
      </c>
      <c r="F201" s="3" t="s">
        <v>557</v>
      </c>
      <c r="G201" s="3" t="s">
        <v>33</v>
      </c>
      <c r="H201" s="8">
        <v>3062</v>
      </c>
      <c r="I201" s="8">
        <v>1124</v>
      </c>
      <c r="J201" s="8">
        <v>538</v>
      </c>
      <c r="K201" s="8">
        <v>2935</v>
      </c>
      <c r="L201" s="7">
        <v>69749</v>
      </c>
      <c r="M201" s="3">
        <v>91924</v>
      </c>
      <c r="N201" s="3" t="s">
        <v>30</v>
      </c>
    </row>
    <row r="202" spans="1:14" ht="14.25" customHeight="1" x14ac:dyDescent="0.3">
      <c r="A202" s="3" t="s">
        <v>354</v>
      </c>
      <c r="B202" s="3" t="s">
        <v>541</v>
      </c>
      <c r="C202" s="6" t="s">
        <v>355</v>
      </c>
      <c r="D202" s="3" t="s">
        <v>23</v>
      </c>
      <c r="E202" s="3" t="s">
        <v>33</v>
      </c>
      <c r="F202" s="3" t="s">
        <v>33</v>
      </c>
      <c r="G202" s="3"/>
      <c r="H202" s="8">
        <v>20360</v>
      </c>
      <c r="I202" s="8">
        <v>254</v>
      </c>
      <c r="J202" s="8">
        <v>726</v>
      </c>
      <c r="K202" s="8">
        <v>1995</v>
      </c>
      <c r="L202" s="7">
        <v>14280</v>
      </c>
      <c r="M202" s="3">
        <v>43726</v>
      </c>
      <c r="N202" s="3" t="s">
        <v>30</v>
      </c>
    </row>
    <row r="203" spans="1:14" ht="14.25" customHeight="1" x14ac:dyDescent="0.3">
      <c r="A203" s="3" t="s">
        <v>356</v>
      </c>
      <c r="B203" s="3" t="s">
        <v>542</v>
      </c>
      <c r="C203" s="6">
        <v>45921</v>
      </c>
      <c r="D203" s="3" t="s">
        <v>14</v>
      </c>
      <c r="E203" s="3" t="s">
        <v>167</v>
      </c>
      <c r="F203" s="3" t="s">
        <v>558</v>
      </c>
      <c r="G203" s="3" t="s">
        <v>559</v>
      </c>
      <c r="H203" s="8">
        <v>19680</v>
      </c>
      <c r="I203" s="8">
        <v>999</v>
      </c>
      <c r="J203" s="8">
        <v>838</v>
      </c>
      <c r="K203" s="8">
        <v>891</v>
      </c>
      <c r="L203" s="7">
        <v>29576</v>
      </c>
      <c r="M203" s="3">
        <v>129152</v>
      </c>
      <c r="N203" s="3" t="s">
        <v>19</v>
      </c>
    </row>
    <row r="204" spans="1:14" ht="14.25" customHeight="1" x14ac:dyDescent="0.3">
      <c r="A204" s="3" t="s">
        <v>357</v>
      </c>
      <c r="B204" s="3" t="s">
        <v>541</v>
      </c>
      <c r="C204" s="6" t="s">
        <v>358</v>
      </c>
      <c r="D204" s="3" t="s">
        <v>14</v>
      </c>
      <c r="E204" s="3" t="s">
        <v>40</v>
      </c>
      <c r="F204" s="3" t="s">
        <v>553</v>
      </c>
      <c r="G204" s="3" t="s">
        <v>554</v>
      </c>
      <c r="H204" s="8">
        <v>8229</v>
      </c>
      <c r="I204" s="8">
        <v>977</v>
      </c>
      <c r="J204" s="8">
        <v>152</v>
      </c>
      <c r="K204" s="8">
        <v>1633</v>
      </c>
      <c r="L204" s="7">
        <v>71447</v>
      </c>
      <c r="M204" s="3">
        <v>67723</v>
      </c>
      <c r="N204" s="3" t="s">
        <v>53</v>
      </c>
    </row>
    <row r="205" spans="1:14" ht="14.25" customHeight="1" x14ac:dyDescent="0.3">
      <c r="A205" s="3" t="s">
        <v>359</v>
      </c>
      <c r="B205" s="3" t="s">
        <v>21</v>
      </c>
      <c r="C205" s="6">
        <v>45922</v>
      </c>
      <c r="D205" s="3" t="s">
        <v>36</v>
      </c>
      <c r="E205" s="3" t="s">
        <v>33</v>
      </c>
      <c r="F205" s="3" t="s">
        <v>33</v>
      </c>
      <c r="G205" s="3"/>
      <c r="H205" s="8">
        <v>18509</v>
      </c>
      <c r="I205" s="8">
        <v>361</v>
      </c>
      <c r="J205" s="8">
        <v>578</v>
      </c>
      <c r="K205" s="8">
        <v>1409</v>
      </c>
      <c r="L205" s="7">
        <v>10569</v>
      </c>
      <c r="M205" s="3">
        <v>166969</v>
      </c>
      <c r="N205" s="3" t="s">
        <v>19</v>
      </c>
    </row>
    <row r="206" spans="1:14" ht="14.25" customHeight="1" x14ac:dyDescent="0.3">
      <c r="A206" s="3" t="s">
        <v>360</v>
      </c>
      <c r="B206" s="3" t="s">
        <v>542</v>
      </c>
      <c r="C206" s="6">
        <v>45923</v>
      </c>
      <c r="D206" s="3" t="s">
        <v>23</v>
      </c>
      <c r="E206" s="3" t="s">
        <v>60</v>
      </c>
      <c r="F206" s="3" t="s">
        <v>549</v>
      </c>
      <c r="G206" s="3" t="s">
        <v>556</v>
      </c>
      <c r="H206" s="8">
        <v>17147</v>
      </c>
      <c r="I206" s="8">
        <v>286</v>
      </c>
      <c r="J206" s="8">
        <v>291</v>
      </c>
      <c r="K206" s="8">
        <v>2439</v>
      </c>
      <c r="L206" s="7">
        <v>45631</v>
      </c>
      <c r="M206" s="3">
        <v>140494</v>
      </c>
      <c r="N206" s="3" t="s">
        <v>19</v>
      </c>
    </row>
    <row r="207" spans="1:14" ht="14.25" customHeight="1" x14ac:dyDescent="0.3">
      <c r="A207" s="3" t="s">
        <v>361</v>
      </c>
      <c r="B207" s="3" t="s">
        <v>21</v>
      </c>
      <c r="C207" s="6" t="s">
        <v>35</v>
      </c>
      <c r="D207" s="3" t="s">
        <v>14</v>
      </c>
      <c r="E207" s="3" t="s">
        <v>60</v>
      </c>
      <c r="F207" s="3" t="s">
        <v>549</v>
      </c>
      <c r="G207" s="3" t="s">
        <v>556</v>
      </c>
      <c r="H207" s="8">
        <v>6632</v>
      </c>
      <c r="I207" s="8">
        <v>254</v>
      </c>
      <c r="J207" s="8">
        <v>525</v>
      </c>
      <c r="K207" s="8">
        <v>1013</v>
      </c>
      <c r="L207" s="7">
        <v>13838</v>
      </c>
      <c r="M207" s="3">
        <v>180180</v>
      </c>
      <c r="N207" s="3" t="s">
        <v>16</v>
      </c>
    </row>
    <row r="208" spans="1:14" ht="14.25" customHeight="1" x14ac:dyDescent="0.3">
      <c r="A208" s="3" t="s">
        <v>362</v>
      </c>
      <c r="B208" s="3" t="s">
        <v>542</v>
      </c>
      <c r="C208" s="6" t="s">
        <v>363</v>
      </c>
      <c r="D208" s="3" t="s">
        <v>36</v>
      </c>
      <c r="E208" s="3" t="s">
        <v>83</v>
      </c>
      <c r="F208" s="3" t="s">
        <v>83</v>
      </c>
      <c r="G208" s="3"/>
      <c r="H208" s="8">
        <v>8288</v>
      </c>
      <c r="I208" s="8">
        <v>1401</v>
      </c>
      <c r="J208" s="8">
        <v>819</v>
      </c>
      <c r="K208" s="8">
        <v>1235</v>
      </c>
      <c r="L208" s="7">
        <v>33446</v>
      </c>
      <c r="M208" s="3">
        <v>248786</v>
      </c>
      <c r="N208" s="3" t="s">
        <v>16</v>
      </c>
    </row>
    <row r="209" spans="1:14" ht="14.25" customHeight="1" x14ac:dyDescent="0.3">
      <c r="A209" s="3" t="s">
        <v>364</v>
      </c>
      <c r="B209" s="3" t="s">
        <v>542</v>
      </c>
      <c r="C209" s="6" t="s">
        <v>35</v>
      </c>
      <c r="D209" s="3" t="s">
        <v>23</v>
      </c>
      <c r="E209" s="3" t="s">
        <v>18</v>
      </c>
      <c r="F209" s="3" t="s">
        <v>545</v>
      </c>
      <c r="G209" s="3" t="s">
        <v>546</v>
      </c>
      <c r="H209" s="8">
        <v>5596</v>
      </c>
      <c r="I209" s="8">
        <v>1231</v>
      </c>
      <c r="J209" s="8">
        <v>473</v>
      </c>
      <c r="K209" s="8">
        <v>2251</v>
      </c>
      <c r="L209" s="7">
        <v>43705</v>
      </c>
      <c r="M209" s="3">
        <v>75643</v>
      </c>
      <c r="N209" s="3" t="s">
        <v>16</v>
      </c>
    </row>
    <row r="210" spans="1:14" ht="14.25" customHeight="1" x14ac:dyDescent="0.3">
      <c r="A210" s="3" t="s">
        <v>365</v>
      </c>
      <c r="B210" s="3" t="s">
        <v>44</v>
      </c>
      <c r="C210" s="6" t="s">
        <v>366</v>
      </c>
      <c r="D210" s="3" t="s">
        <v>36</v>
      </c>
      <c r="E210" s="3" t="s">
        <v>29</v>
      </c>
      <c r="F210" s="3" t="s">
        <v>549</v>
      </c>
      <c r="G210" s="3" t="s">
        <v>550</v>
      </c>
      <c r="H210" s="8">
        <v>13475</v>
      </c>
      <c r="I210" s="8">
        <v>1032</v>
      </c>
      <c r="J210" s="8">
        <v>295</v>
      </c>
      <c r="K210" s="8">
        <v>541</v>
      </c>
      <c r="L210" s="7">
        <v>43666</v>
      </c>
      <c r="M210" s="3">
        <v>202396</v>
      </c>
      <c r="N210" s="3" t="s">
        <v>53</v>
      </c>
    </row>
    <row r="211" spans="1:14" ht="14.25" customHeight="1" x14ac:dyDescent="0.3">
      <c r="A211" s="3" t="s">
        <v>367</v>
      </c>
      <c r="B211" s="3" t="s">
        <v>21</v>
      </c>
      <c r="C211" s="6" t="s">
        <v>368</v>
      </c>
      <c r="D211" s="3" t="s">
        <v>28</v>
      </c>
      <c r="E211" s="3" t="s">
        <v>46</v>
      </c>
      <c r="F211" s="3" t="s">
        <v>555</v>
      </c>
      <c r="G211" s="3" t="s">
        <v>549</v>
      </c>
      <c r="H211" s="8">
        <v>8168</v>
      </c>
      <c r="I211" s="8">
        <v>512</v>
      </c>
      <c r="J211" s="8">
        <v>442</v>
      </c>
      <c r="K211" s="8">
        <v>2343</v>
      </c>
      <c r="L211" s="7">
        <v>2753</v>
      </c>
      <c r="M211" s="3">
        <v>143896</v>
      </c>
      <c r="N211" s="3" t="s">
        <v>53</v>
      </c>
    </row>
    <row r="212" spans="1:14" ht="14.25" customHeight="1" x14ac:dyDescent="0.3">
      <c r="A212" s="3" t="s">
        <v>369</v>
      </c>
      <c r="B212" s="3" t="s">
        <v>541</v>
      </c>
      <c r="C212" s="6">
        <v>45924</v>
      </c>
      <c r="D212" s="3" t="s">
        <v>14</v>
      </c>
      <c r="E212" s="3" t="s">
        <v>83</v>
      </c>
      <c r="F212" s="3" t="s">
        <v>83</v>
      </c>
      <c r="G212" s="3"/>
      <c r="H212" s="8">
        <v>11795</v>
      </c>
      <c r="I212" s="8">
        <v>958</v>
      </c>
      <c r="J212" s="8">
        <v>814</v>
      </c>
      <c r="K212" s="8">
        <v>301</v>
      </c>
      <c r="L212" s="7">
        <v>12564</v>
      </c>
      <c r="M212" s="3">
        <v>179999</v>
      </c>
      <c r="N212" s="3" t="s">
        <v>19</v>
      </c>
    </row>
    <row r="213" spans="1:14" ht="14.25" customHeight="1" x14ac:dyDescent="0.3">
      <c r="A213" s="3" t="s">
        <v>370</v>
      </c>
      <c r="B213" s="3" t="s">
        <v>541</v>
      </c>
      <c r="C213" s="6" t="s">
        <v>156</v>
      </c>
      <c r="D213" s="3" t="s">
        <v>28</v>
      </c>
      <c r="E213" s="3" t="s">
        <v>15</v>
      </c>
      <c r="F213" s="3" t="s">
        <v>543</v>
      </c>
      <c r="G213" s="3" t="s">
        <v>544</v>
      </c>
      <c r="H213" s="8">
        <v>9561</v>
      </c>
      <c r="I213" s="8">
        <v>642</v>
      </c>
      <c r="J213" s="8">
        <v>581</v>
      </c>
      <c r="K213" s="8">
        <v>2572</v>
      </c>
      <c r="L213" s="7">
        <v>38552</v>
      </c>
      <c r="M213" s="3">
        <v>133680</v>
      </c>
      <c r="N213" s="3" t="s">
        <v>16</v>
      </c>
    </row>
    <row r="214" spans="1:14" ht="14.25" customHeight="1" x14ac:dyDescent="0.3">
      <c r="A214" s="3" t="s">
        <v>371</v>
      </c>
      <c r="B214" s="3" t="s">
        <v>21</v>
      </c>
      <c r="C214" s="6" t="s">
        <v>372</v>
      </c>
      <c r="D214" s="3" t="s">
        <v>23</v>
      </c>
      <c r="E214" s="3" t="s">
        <v>46</v>
      </c>
      <c r="F214" s="3" t="s">
        <v>555</v>
      </c>
      <c r="G214" s="3" t="s">
        <v>549</v>
      </c>
      <c r="H214" s="8">
        <v>10258</v>
      </c>
      <c r="I214" s="8">
        <v>527</v>
      </c>
      <c r="J214" s="8">
        <v>854</v>
      </c>
      <c r="K214" s="8">
        <v>2068</v>
      </c>
      <c r="L214" s="7">
        <v>45632</v>
      </c>
      <c r="M214" s="3">
        <v>136546</v>
      </c>
      <c r="N214" s="3" t="s">
        <v>53</v>
      </c>
    </row>
    <row r="215" spans="1:14" ht="14.25" customHeight="1" x14ac:dyDescent="0.3">
      <c r="A215" s="3" t="s">
        <v>373</v>
      </c>
      <c r="B215" s="3" t="s">
        <v>541</v>
      </c>
      <c r="C215" s="6" t="s">
        <v>13</v>
      </c>
      <c r="D215" s="3" t="s">
        <v>28</v>
      </c>
      <c r="E215" s="3" t="s">
        <v>24</v>
      </c>
      <c r="F215" s="3" t="s">
        <v>547</v>
      </c>
      <c r="G215" s="3" t="s">
        <v>548</v>
      </c>
      <c r="H215" s="8">
        <v>18616</v>
      </c>
      <c r="I215" s="8">
        <v>1277</v>
      </c>
      <c r="J215" s="8">
        <v>734</v>
      </c>
      <c r="K215" s="8">
        <v>2249</v>
      </c>
      <c r="L215" s="7">
        <v>3399</v>
      </c>
      <c r="M215" s="3">
        <v>193515</v>
      </c>
      <c r="N215" s="3" t="s">
        <v>30</v>
      </c>
    </row>
    <row r="216" spans="1:14" ht="14.25" customHeight="1" x14ac:dyDescent="0.3">
      <c r="A216" s="3" t="s">
        <v>374</v>
      </c>
      <c r="B216" s="3" t="s">
        <v>541</v>
      </c>
      <c r="C216" s="6">
        <v>45925</v>
      </c>
      <c r="D216" s="3" t="s">
        <v>28</v>
      </c>
      <c r="E216" s="3" t="s">
        <v>68</v>
      </c>
      <c r="F216" s="3" t="s">
        <v>557</v>
      </c>
      <c r="G216" s="3" t="s">
        <v>33</v>
      </c>
      <c r="H216" s="8">
        <v>8371</v>
      </c>
      <c r="I216" s="8">
        <v>960</v>
      </c>
      <c r="J216" s="8">
        <v>548</v>
      </c>
      <c r="K216" s="8">
        <v>2936</v>
      </c>
      <c r="L216" s="7">
        <v>82543</v>
      </c>
      <c r="M216" s="3">
        <v>119973</v>
      </c>
      <c r="N216" s="3" t="s">
        <v>19</v>
      </c>
    </row>
    <row r="217" spans="1:14" ht="14.25" customHeight="1" x14ac:dyDescent="0.3">
      <c r="A217" s="3" t="s">
        <v>375</v>
      </c>
      <c r="B217" s="3" t="s">
        <v>21</v>
      </c>
      <c r="C217" s="6" t="s">
        <v>219</v>
      </c>
      <c r="D217" s="3" t="s">
        <v>23</v>
      </c>
      <c r="E217" s="3" t="s">
        <v>15</v>
      </c>
      <c r="F217" s="3" t="s">
        <v>543</v>
      </c>
      <c r="G217" s="3" t="s">
        <v>544</v>
      </c>
      <c r="H217" s="8">
        <v>22590</v>
      </c>
      <c r="I217" s="8">
        <v>1462</v>
      </c>
      <c r="J217" s="8">
        <v>966</v>
      </c>
      <c r="K217" s="8">
        <v>2463</v>
      </c>
      <c r="L217" s="7">
        <v>29689</v>
      </c>
      <c r="M217" s="3">
        <v>103449</v>
      </c>
      <c r="N217" s="3" t="s">
        <v>25</v>
      </c>
    </row>
    <row r="218" spans="1:14" ht="14.25" customHeight="1" x14ac:dyDescent="0.3">
      <c r="A218" s="3" t="s">
        <v>376</v>
      </c>
      <c r="B218" s="3" t="s">
        <v>542</v>
      </c>
      <c r="C218" s="6">
        <v>45926</v>
      </c>
      <c r="D218" s="3" t="s">
        <v>36</v>
      </c>
      <c r="E218" s="3" t="s">
        <v>15</v>
      </c>
      <c r="F218" s="3" t="s">
        <v>543</v>
      </c>
      <c r="G218" s="3" t="s">
        <v>544</v>
      </c>
      <c r="H218" s="8">
        <v>16369</v>
      </c>
      <c r="I218" s="8">
        <v>1452</v>
      </c>
      <c r="J218" s="8">
        <v>493</v>
      </c>
      <c r="K218" s="8">
        <v>1217</v>
      </c>
      <c r="L218" s="7">
        <v>91440</v>
      </c>
      <c r="M218" s="3">
        <v>149834</v>
      </c>
      <c r="N218" s="3" t="s">
        <v>19</v>
      </c>
    </row>
    <row r="219" spans="1:14" ht="14.25" customHeight="1" x14ac:dyDescent="0.3">
      <c r="A219" s="3" t="s">
        <v>377</v>
      </c>
      <c r="B219" s="3" t="s">
        <v>21</v>
      </c>
      <c r="C219" s="6" t="s">
        <v>378</v>
      </c>
      <c r="D219" s="3" t="s">
        <v>28</v>
      </c>
      <c r="E219" s="3" t="s">
        <v>83</v>
      </c>
      <c r="F219" s="3" t="s">
        <v>83</v>
      </c>
      <c r="G219" s="3"/>
      <c r="H219" s="8">
        <v>14910</v>
      </c>
      <c r="I219" s="8">
        <v>778</v>
      </c>
      <c r="J219" s="8">
        <v>289</v>
      </c>
      <c r="K219" s="8">
        <v>2541</v>
      </c>
      <c r="L219" s="7">
        <v>14309</v>
      </c>
      <c r="M219" s="3">
        <v>247815</v>
      </c>
      <c r="N219" s="3" t="s">
        <v>25</v>
      </c>
    </row>
    <row r="220" spans="1:14" ht="14.25" customHeight="1" x14ac:dyDescent="0.3">
      <c r="A220" s="3" t="s">
        <v>379</v>
      </c>
      <c r="B220" s="3" t="s">
        <v>542</v>
      </c>
      <c r="C220" s="6" t="s">
        <v>134</v>
      </c>
      <c r="D220" s="3" t="s">
        <v>36</v>
      </c>
      <c r="E220" s="3" t="s">
        <v>37</v>
      </c>
      <c r="F220" s="3" t="s">
        <v>551</v>
      </c>
      <c r="G220" s="3" t="s">
        <v>552</v>
      </c>
      <c r="H220" s="8">
        <v>9943</v>
      </c>
      <c r="I220" s="8">
        <v>1274</v>
      </c>
      <c r="J220" s="8">
        <v>336</v>
      </c>
      <c r="K220" s="8">
        <v>389</v>
      </c>
      <c r="L220" s="7">
        <v>6145</v>
      </c>
      <c r="M220" s="3">
        <v>231305</v>
      </c>
      <c r="N220" s="3" t="s">
        <v>16</v>
      </c>
    </row>
    <row r="221" spans="1:14" ht="14.25" customHeight="1" x14ac:dyDescent="0.3">
      <c r="A221" s="3" t="s">
        <v>380</v>
      </c>
      <c r="B221" s="3" t="s">
        <v>541</v>
      </c>
      <c r="C221" s="6" t="s">
        <v>381</v>
      </c>
      <c r="D221" s="3" t="s">
        <v>28</v>
      </c>
      <c r="E221" s="3" t="s">
        <v>18</v>
      </c>
      <c r="F221" s="3" t="s">
        <v>545</v>
      </c>
      <c r="G221" s="3" t="s">
        <v>546</v>
      </c>
      <c r="H221" s="8">
        <v>14199</v>
      </c>
      <c r="I221" s="8">
        <v>1206</v>
      </c>
      <c r="J221" s="8">
        <v>954</v>
      </c>
      <c r="K221" s="8">
        <v>2009</v>
      </c>
      <c r="L221" s="7">
        <v>8</v>
      </c>
      <c r="M221" s="3">
        <v>65537</v>
      </c>
      <c r="N221" s="3" t="s">
        <v>25</v>
      </c>
    </row>
    <row r="222" spans="1:14" ht="14.25" customHeight="1" x14ac:dyDescent="0.3">
      <c r="A222" s="3" t="s">
        <v>382</v>
      </c>
      <c r="B222" s="3" t="s">
        <v>541</v>
      </c>
      <c r="C222" s="6" t="s">
        <v>208</v>
      </c>
      <c r="D222" s="3" t="s">
        <v>36</v>
      </c>
      <c r="E222" s="3" t="s">
        <v>37</v>
      </c>
      <c r="F222" s="3" t="s">
        <v>551</v>
      </c>
      <c r="G222" s="3" t="s">
        <v>552</v>
      </c>
      <c r="H222" s="8">
        <v>17728</v>
      </c>
      <c r="I222" s="8">
        <v>1487</v>
      </c>
      <c r="J222" s="8">
        <v>210</v>
      </c>
      <c r="K222" s="8">
        <v>2469</v>
      </c>
      <c r="L222" s="7">
        <v>30565</v>
      </c>
      <c r="M222" s="3">
        <v>117576</v>
      </c>
      <c r="N222" s="3" t="s">
        <v>16</v>
      </c>
    </row>
    <row r="223" spans="1:14" ht="14.25" customHeight="1" x14ac:dyDescent="0.3">
      <c r="A223" s="3" t="s">
        <v>383</v>
      </c>
      <c r="B223" s="3" t="s">
        <v>541</v>
      </c>
      <c r="C223" s="6" t="s">
        <v>384</v>
      </c>
      <c r="D223" s="3" t="s">
        <v>23</v>
      </c>
      <c r="E223" s="3" t="s">
        <v>83</v>
      </c>
      <c r="F223" s="3" t="s">
        <v>83</v>
      </c>
      <c r="G223" s="3"/>
      <c r="H223" s="8">
        <v>8738</v>
      </c>
      <c r="I223" s="8">
        <v>295</v>
      </c>
      <c r="J223" s="8">
        <v>529</v>
      </c>
      <c r="K223" s="8">
        <v>442</v>
      </c>
      <c r="L223" s="7">
        <v>25286</v>
      </c>
      <c r="M223" s="3">
        <v>147522</v>
      </c>
      <c r="N223" s="3" t="s">
        <v>30</v>
      </c>
    </row>
    <row r="224" spans="1:14" ht="14.25" customHeight="1" x14ac:dyDescent="0.3">
      <c r="A224" s="3" t="s">
        <v>385</v>
      </c>
      <c r="B224" s="3" t="s">
        <v>44</v>
      </c>
      <c r="C224" s="6" t="s">
        <v>307</v>
      </c>
      <c r="D224" s="3" t="s">
        <v>28</v>
      </c>
      <c r="E224" s="3" t="s">
        <v>24</v>
      </c>
      <c r="F224" s="3" t="s">
        <v>547</v>
      </c>
      <c r="G224" s="3" t="s">
        <v>548</v>
      </c>
      <c r="H224" s="8">
        <v>17913</v>
      </c>
      <c r="I224" s="8">
        <v>1311</v>
      </c>
      <c r="J224" s="8">
        <v>859</v>
      </c>
      <c r="K224" s="8">
        <v>405</v>
      </c>
      <c r="L224" s="7">
        <v>59842</v>
      </c>
      <c r="M224" s="3">
        <v>62612</v>
      </c>
      <c r="N224" s="3" t="s">
        <v>25</v>
      </c>
    </row>
    <row r="225" spans="1:14" ht="14.25" customHeight="1" x14ac:dyDescent="0.3">
      <c r="A225" s="3" t="s">
        <v>386</v>
      </c>
      <c r="B225" s="3" t="s">
        <v>542</v>
      </c>
      <c r="C225" s="6">
        <v>45907</v>
      </c>
      <c r="D225" s="3" t="s">
        <v>23</v>
      </c>
      <c r="E225" s="3" t="s">
        <v>167</v>
      </c>
      <c r="F225" s="3" t="s">
        <v>558</v>
      </c>
      <c r="G225" s="3" t="s">
        <v>559</v>
      </c>
      <c r="H225" s="8">
        <v>4472</v>
      </c>
      <c r="I225" s="8">
        <v>1301</v>
      </c>
      <c r="J225" s="8">
        <v>956</v>
      </c>
      <c r="K225" s="8">
        <v>1186</v>
      </c>
      <c r="L225" s="7">
        <v>3363</v>
      </c>
      <c r="M225" s="3">
        <v>46471</v>
      </c>
      <c r="N225" s="3" t="s">
        <v>19</v>
      </c>
    </row>
    <row r="226" spans="1:14" ht="14.25" customHeight="1" x14ac:dyDescent="0.3">
      <c r="A226" s="3" t="s">
        <v>387</v>
      </c>
      <c r="B226" s="3" t="s">
        <v>44</v>
      </c>
      <c r="C226" s="6" t="s">
        <v>388</v>
      </c>
      <c r="D226" s="3" t="s">
        <v>28</v>
      </c>
      <c r="E226" s="3" t="s">
        <v>40</v>
      </c>
      <c r="F226" s="3" t="s">
        <v>553</v>
      </c>
      <c r="G226" s="3" t="s">
        <v>554</v>
      </c>
      <c r="H226" s="8">
        <v>21123</v>
      </c>
      <c r="I226" s="8">
        <v>1343</v>
      </c>
      <c r="J226" s="8">
        <v>589</v>
      </c>
      <c r="K226" s="8">
        <v>727</v>
      </c>
      <c r="L226" s="7">
        <v>87833</v>
      </c>
      <c r="M226" s="3">
        <v>206703</v>
      </c>
      <c r="N226" s="3" t="s">
        <v>16</v>
      </c>
    </row>
    <row r="227" spans="1:14" ht="14.25" customHeight="1" x14ac:dyDescent="0.3">
      <c r="A227" s="3" t="s">
        <v>389</v>
      </c>
      <c r="B227" s="3" t="s">
        <v>44</v>
      </c>
      <c r="C227" s="6">
        <v>45908</v>
      </c>
      <c r="D227" s="3" t="s">
        <v>23</v>
      </c>
      <c r="E227" s="3" t="s">
        <v>40</v>
      </c>
      <c r="F227" s="3" t="s">
        <v>553</v>
      </c>
      <c r="G227" s="3" t="s">
        <v>554</v>
      </c>
      <c r="H227" s="8">
        <v>23785</v>
      </c>
      <c r="I227" s="8">
        <v>1013</v>
      </c>
      <c r="J227" s="8">
        <v>468</v>
      </c>
      <c r="K227" s="8">
        <v>1628</v>
      </c>
      <c r="L227" s="7">
        <v>8272</v>
      </c>
      <c r="M227" s="3">
        <v>71348</v>
      </c>
      <c r="N227" s="3" t="s">
        <v>19</v>
      </c>
    </row>
    <row r="228" spans="1:14" ht="14.25" customHeight="1" x14ac:dyDescent="0.3">
      <c r="A228" s="3" t="s">
        <v>390</v>
      </c>
      <c r="B228" s="3" t="s">
        <v>21</v>
      </c>
      <c r="C228" s="6" t="s">
        <v>391</v>
      </c>
      <c r="D228" s="3" t="s">
        <v>23</v>
      </c>
      <c r="E228" s="3" t="s">
        <v>18</v>
      </c>
      <c r="F228" s="3" t="s">
        <v>545</v>
      </c>
      <c r="G228" s="3" t="s">
        <v>546</v>
      </c>
      <c r="H228" s="8">
        <v>17679</v>
      </c>
      <c r="I228" s="8">
        <v>690</v>
      </c>
      <c r="J228" s="8">
        <v>451</v>
      </c>
      <c r="K228" s="8">
        <v>2195</v>
      </c>
      <c r="L228" s="7">
        <v>4390</v>
      </c>
      <c r="M228" s="3">
        <v>235804</v>
      </c>
      <c r="N228" s="3" t="s">
        <v>53</v>
      </c>
    </row>
    <row r="229" spans="1:14" ht="14.25" customHeight="1" x14ac:dyDescent="0.3">
      <c r="A229" s="3" t="s">
        <v>392</v>
      </c>
      <c r="B229" s="3" t="s">
        <v>44</v>
      </c>
      <c r="C229" s="6" t="s">
        <v>393</v>
      </c>
      <c r="D229" s="3" t="s">
        <v>28</v>
      </c>
      <c r="E229" s="3" t="s">
        <v>24</v>
      </c>
      <c r="F229" s="3" t="s">
        <v>547</v>
      </c>
      <c r="G229" s="3" t="s">
        <v>548</v>
      </c>
      <c r="H229" s="8">
        <v>3761</v>
      </c>
      <c r="I229" s="8">
        <v>651</v>
      </c>
      <c r="J229" s="8">
        <v>493</v>
      </c>
      <c r="K229" s="8">
        <v>2294</v>
      </c>
      <c r="L229" s="7">
        <v>71696</v>
      </c>
      <c r="M229" s="3">
        <v>41177</v>
      </c>
      <c r="N229" s="3" t="s">
        <v>16</v>
      </c>
    </row>
    <row r="230" spans="1:14" ht="14.25" customHeight="1" x14ac:dyDescent="0.3">
      <c r="A230" s="3" t="s">
        <v>394</v>
      </c>
      <c r="B230" s="3" t="s">
        <v>21</v>
      </c>
      <c r="C230" s="6" t="s">
        <v>116</v>
      </c>
      <c r="D230" s="3" t="s">
        <v>28</v>
      </c>
      <c r="E230" s="3" t="s">
        <v>18</v>
      </c>
      <c r="F230" s="3" t="s">
        <v>545</v>
      </c>
      <c r="G230" s="3" t="s">
        <v>546</v>
      </c>
      <c r="H230" s="8">
        <v>12167</v>
      </c>
      <c r="I230" s="8">
        <v>364</v>
      </c>
      <c r="J230" s="8">
        <v>160</v>
      </c>
      <c r="K230" s="8">
        <v>616</v>
      </c>
      <c r="L230" s="7">
        <v>42228</v>
      </c>
      <c r="M230" s="3">
        <v>175832</v>
      </c>
      <c r="N230" s="3" t="s">
        <v>25</v>
      </c>
    </row>
    <row r="231" spans="1:14" ht="14.25" customHeight="1" x14ac:dyDescent="0.3">
      <c r="A231" s="3" t="s">
        <v>395</v>
      </c>
      <c r="B231" s="3" t="s">
        <v>21</v>
      </c>
      <c r="C231" s="6" t="s">
        <v>264</v>
      </c>
      <c r="D231" s="3" t="s">
        <v>28</v>
      </c>
      <c r="E231" s="3" t="s">
        <v>33</v>
      </c>
      <c r="F231" s="3" t="s">
        <v>33</v>
      </c>
      <c r="G231" s="3"/>
      <c r="H231" s="8">
        <v>12554</v>
      </c>
      <c r="I231" s="8">
        <v>381</v>
      </c>
      <c r="J231" s="8">
        <v>211</v>
      </c>
      <c r="K231" s="8">
        <v>2286</v>
      </c>
      <c r="L231" s="7">
        <v>50567</v>
      </c>
      <c r="M231" s="3">
        <v>72779</v>
      </c>
      <c r="N231" s="3" t="s">
        <v>16</v>
      </c>
    </row>
    <row r="232" spans="1:14" ht="14.25" customHeight="1" x14ac:dyDescent="0.3">
      <c r="A232" s="3" t="s">
        <v>396</v>
      </c>
      <c r="B232" s="3" t="s">
        <v>44</v>
      </c>
      <c r="C232" s="6">
        <v>45909</v>
      </c>
      <c r="D232" s="3" t="s">
        <v>14</v>
      </c>
      <c r="E232" s="3" t="s">
        <v>37</v>
      </c>
      <c r="F232" s="3" t="s">
        <v>551</v>
      </c>
      <c r="G232" s="3" t="s">
        <v>552</v>
      </c>
      <c r="H232" s="8">
        <v>19260</v>
      </c>
      <c r="I232" s="8">
        <v>668</v>
      </c>
      <c r="J232" s="8">
        <v>994</v>
      </c>
      <c r="K232" s="8">
        <v>934</v>
      </c>
      <c r="L232" s="7">
        <v>20509</v>
      </c>
      <c r="M232" s="3">
        <v>61636</v>
      </c>
      <c r="N232" s="3" t="s">
        <v>19</v>
      </c>
    </row>
    <row r="233" spans="1:14" ht="14.25" customHeight="1" x14ac:dyDescent="0.3">
      <c r="A233" s="3" t="s">
        <v>397</v>
      </c>
      <c r="B233" s="3" t="s">
        <v>542</v>
      </c>
      <c r="C233" s="6" t="s">
        <v>398</v>
      </c>
      <c r="D233" s="3" t="s">
        <v>36</v>
      </c>
      <c r="E233" s="3" t="s">
        <v>40</v>
      </c>
      <c r="F233" s="3" t="s">
        <v>553</v>
      </c>
      <c r="G233" s="3" t="s">
        <v>554</v>
      </c>
      <c r="H233" s="8">
        <v>16277</v>
      </c>
      <c r="I233" s="8">
        <v>1109</v>
      </c>
      <c r="J233" s="8">
        <v>375</v>
      </c>
      <c r="K233" s="8">
        <v>2225</v>
      </c>
      <c r="L233" s="7">
        <v>1044</v>
      </c>
      <c r="M233" s="3">
        <v>121889</v>
      </c>
      <c r="N233" s="3" t="s">
        <v>30</v>
      </c>
    </row>
    <row r="234" spans="1:14" ht="14.25" customHeight="1" x14ac:dyDescent="0.3">
      <c r="A234" s="3" t="s">
        <v>399</v>
      </c>
      <c r="B234" s="3" t="s">
        <v>542</v>
      </c>
      <c r="C234" s="6" t="s">
        <v>150</v>
      </c>
      <c r="D234" s="3" t="s">
        <v>14</v>
      </c>
      <c r="E234" s="3" t="s">
        <v>15</v>
      </c>
      <c r="F234" s="3" t="s">
        <v>543</v>
      </c>
      <c r="G234" s="3" t="s">
        <v>544</v>
      </c>
      <c r="H234" s="8">
        <v>5812</v>
      </c>
      <c r="I234" s="8">
        <v>934</v>
      </c>
      <c r="J234" s="8">
        <v>302</v>
      </c>
      <c r="K234" s="8">
        <v>2356</v>
      </c>
      <c r="L234" s="7">
        <v>37437</v>
      </c>
      <c r="M234" s="3">
        <v>93551</v>
      </c>
      <c r="N234" s="3" t="s">
        <v>16</v>
      </c>
    </row>
    <row r="235" spans="1:14" ht="14.25" customHeight="1" x14ac:dyDescent="0.3">
      <c r="A235" s="3" t="s">
        <v>400</v>
      </c>
      <c r="B235" s="3" t="s">
        <v>542</v>
      </c>
      <c r="C235" s="6" t="s">
        <v>401</v>
      </c>
      <c r="D235" s="3" t="s">
        <v>14</v>
      </c>
      <c r="E235" s="3" t="s">
        <v>37</v>
      </c>
      <c r="F235" s="3" t="s">
        <v>551</v>
      </c>
      <c r="G235" s="3" t="s">
        <v>552</v>
      </c>
      <c r="H235" s="8">
        <v>19844</v>
      </c>
      <c r="I235" s="8">
        <v>1022</v>
      </c>
      <c r="J235" s="8">
        <v>860</v>
      </c>
      <c r="K235" s="8">
        <v>2570</v>
      </c>
      <c r="L235" s="7">
        <v>23719</v>
      </c>
      <c r="M235" s="3">
        <v>182628</v>
      </c>
      <c r="N235" s="3" t="s">
        <v>25</v>
      </c>
    </row>
    <row r="236" spans="1:14" ht="14.25" customHeight="1" x14ac:dyDescent="0.3">
      <c r="A236" s="3" t="s">
        <v>402</v>
      </c>
      <c r="B236" s="3" t="s">
        <v>542</v>
      </c>
      <c r="C236" s="6" t="s">
        <v>335</v>
      </c>
      <c r="D236" s="3" t="s">
        <v>23</v>
      </c>
      <c r="E236" s="3" t="s">
        <v>29</v>
      </c>
      <c r="F236" s="3" t="s">
        <v>549</v>
      </c>
      <c r="G236" s="3" t="s">
        <v>550</v>
      </c>
      <c r="H236" s="8">
        <v>20117</v>
      </c>
      <c r="I236" s="8">
        <v>1143</v>
      </c>
      <c r="J236" s="8">
        <v>713</v>
      </c>
      <c r="K236" s="8">
        <v>1739</v>
      </c>
      <c r="L236" s="7">
        <v>34444</v>
      </c>
      <c r="M236" s="3">
        <v>198670</v>
      </c>
      <c r="N236" s="3" t="s">
        <v>53</v>
      </c>
    </row>
    <row r="237" spans="1:14" ht="14.25" customHeight="1" x14ac:dyDescent="0.3">
      <c r="A237" s="3" t="s">
        <v>403</v>
      </c>
      <c r="B237" s="3" t="s">
        <v>542</v>
      </c>
      <c r="C237" s="6" t="s">
        <v>62</v>
      </c>
      <c r="D237" s="3" t="s">
        <v>28</v>
      </c>
      <c r="E237" s="3" t="s">
        <v>68</v>
      </c>
      <c r="F237" s="3" t="s">
        <v>557</v>
      </c>
      <c r="G237" s="3" t="s">
        <v>33</v>
      </c>
      <c r="H237" s="8">
        <v>3605</v>
      </c>
      <c r="I237" s="8">
        <v>206</v>
      </c>
      <c r="J237" s="8">
        <v>921</v>
      </c>
      <c r="K237" s="8">
        <v>852</v>
      </c>
      <c r="L237" s="7">
        <v>11660</v>
      </c>
      <c r="M237" s="3">
        <v>182635</v>
      </c>
      <c r="N237" s="3" t="s">
        <v>30</v>
      </c>
    </row>
    <row r="238" spans="1:14" ht="14.25" customHeight="1" x14ac:dyDescent="0.3">
      <c r="A238" s="3" t="s">
        <v>404</v>
      </c>
      <c r="B238" s="3" t="s">
        <v>44</v>
      </c>
      <c r="C238" s="6" t="s">
        <v>288</v>
      </c>
      <c r="D238" s="3" t="s">
        <v>36</v>
      </c>
      <c r="E238" s="3" t="s">
        <v>24</v>
      </c>
      <c r="F238" s="3" t="s">
        <v>547</v>
      </c>
      <c r="G238" s="3" t="s">
        <v>548</v>
      </c>
      <c r="H238" s="8">
        <v>7622</v>
      </c>
      <c r="I238" s="8">
        <v>529</v>
      </c>
      <c r="J238" s="8">
        <v>720</v>
      </c>
      <c r="K238" s="8">
        <v>1015</v>
      </c>
      <c r="L238" s="7">
        <v>71322</v>
      </c>
      <c r="M238" s="3">
        <v>86819</v>
      </c>
      <c r="N238" s="3" t="s">
        <v>53</v>
      </c>
    </row>
    <row r="239" spans="1:14" ht="14.25" customHeight="1" x14ac:dyDescent="0.3">
      <c r="A239" s="3" t="s">
        <v>405</v>
      </c>
      <c r="B239" s="3" t="s">
        <v>44</v>
      </c>
      <c r="C239" s="6" t="s">
        <v>406</v>
      </c>
      <c r="D239" s="3" t="s">
        <v>23</v>
      </c>
      <c r="E239" s="3" t="s">
        <v>46</v>
      </c>
      <c r="F239" s="3" t="s">
        <v>555</v>
      </c>
      <c r="G239" s="3" t="s">
        <v>549</v>
      </c>
      <c r="H239" s="8">
        <v>8767</v>
      </c>
      <c r="I239" s="8">
        <v>974</v>
      </c>
      <c r="J239" s="8">
        <v>733</v>
      </c>
      <c r="K239" s="8">
        <v>1587</v>
      </c>
      <c r="L239" s="7">
        <v>74927</v>
      </c>
      <c r="M239" s="3">
        <v>113770</v>
      </c>
      <c r="N239" s="3" t="s">
        <v>16</v>
      </c>
    </row>
    <row r="240" spans="1:14" ht="14.25" customHeight="1" x14ac:dyDescent="0.3">
      <c r="A240" s="3" t="s">
        <v>407</v>
      </c>
      <c r="B240" s="3" t="s">
        <v>541</v>
      </c>
      <c r="C240" s="6">
        <v>45910</v>
      </c>
      <c r="D240" s="3" t="s">
        <v>14</v>
      </c>
      <c r="E240" s="3" t="s">
        <v>18</v>
      </c>
      <c r="F240" s="3" t="s">
        <v>545</v>
      </c>
      <c r="G240" s="3" t="s">
        <v>546</v>
      </c>
      <c r="H240" s="8">
        <v>13613</v>
      </c>
      <c r="I240" s="8">
        <v>350</v>
      </c>
      <c r="J240" s="8">
        <v>809</v>
      </c>
      <c r="K240" s="8">
        <v>2013</v>
      </c>
      <c r="L240" s="7">
        <v>20471</v>
      </c>
      <c r="M240" s="3">
        <v>198038</v>
      </c>
      <c r="N240" s="3" t="s">
        <v>19</v>
      </c>
    </row>
    <row r="241" spans="1:14" ht="14.25" customHeight="1" x14ac:dyDescent="0.3">
      <c r="A241" s="3" t="s">
        <v>408</v>
      </c>
      <c r="B241" s="3" t="s">
        <v>542</v>
      </c>
      <c r="C241" s="6">
        <v>45911</v>
      </c>
      <c r="D241" s="3" t="s">
        <v>28</v>
      </c>
      <c r="E241" s="3" t="s">
        <v>37</v>
      </c>
      <c r="F241" s="3" t="s">
        <v>551</v>
      </c>
      <c r="G241" s="3" t="s">
        <v>552</v>
      </c>
      <c r="H241" s="8">
        <v>21901</v>
      </c>
      <c r="I241" s="8">
        <v>1308</v>
      </c>
      <c r="J241" s="8">
        <v>724</v>
      </c>
      <c r="K241" s="8">
        <v>2183</v>
      </c>
      <c r="L241" s="7">
        <v>15996</v>
      </c>
      <c r="M241" s="3">
        <v>230961</v>
      </c>
      <c r="N241" s="3" t="s">
        <v>19</v>
      </c>
    </row>
    <row r="242" spans="1:14" ht="14.25" customHeight="1" x14ac:dyDescent="0.3">
      <c r="A242" s="3" t="s">
        <v>409</v>
      </c>
      <c r="B242" s="3" t="s">
        <v>44</v>
      </c>
      <c r="C242" s="6" t="s">
        <v>410</v>
      </c>
      <c r="D242" s="3" t="s">
        <v>23</v>
      </c>
      <c r="E242" s="3" t="s">
        <v>68</v>
      </c>
      <c r="F242" s="3" t="s">
        <v>557</v>
      </c>
      <c r="G242" s="3" t="s">
        <v>33</v>
      </c>
      <c r="H242" s="8">
        <v>12589</v>
      </c>
      <c r="I242" s="8">
        <v>346</v>
      </c>
      <c r="J242" s="8">
        <v>459</v>
      </c>
      <c r="K242" s="8">
        <v>1407</v>
      </c>
      <c r="L242" s="7">
        <v>29254</v>
      </c>
      <c r="M242" s="3">
        <v>198059</v>
      </c>
      <c r="N242" s="3" t="s">
        <v>25</v>
      </c>
    </row>
    <row r="243" spans="1:14" ht="14.25" customHeight="1" x14ac:dyDescent="0.3">
      <c r="A243" s="3" t="s">
        <v>411</v>
      </c>
      <c r="B243" s="3" t="s">
        <v>541</v>
      </c>
      <c r="C243" s="6">
        <v>45912</v>
      </c>
      <c r="D243" s="3" t="s">
        <v>28</v>
      </c>
      <c r="E243" s="3" t="s">
        <v>37</v>
      </c>
      <c r="F243" s="3" t="s">
        <v>551</v>
      </c>
      <c r="G243" s="3" t="s">
        <v>552</v>
      </c>
      <c r="H243" s="8">
        <v>15918</v>
      </c>
      <c r="I243" s="8">
        <v>1114</v>
      </c>
      <c r="J243" s="8">
        <v>392</v>
      </c>
      <c r="K243" s="8">
        <v>1641</v>
      </c>
      <c r="L243" s="7">
        <v>28044</v>
      </c>
      <c r="M243" s="3">
        <v>118714</v>
      </c>
      <c r="N243" s="3" t="s">
        <v>19</v>
      </c>
    </row>
    <row r="244" spans="1:14" ht="14.25" customHeight="1" x14ac:dyDescent="0.3">
      <c r="A244" s="3" t="s">
        <v>412</v>
      </c>
      <c r="B244" s="3" t="s">
        <v>542</v>
      </c>
      <c r="C244" s="6" t="s">
        <v>413</v>
      </c>
      <c r="D244" s="3" t="s">
        <v>23</v>
      </c>
      <c r="E244" s="3" t="s">
        <v>46</v>
      </c>
      <c r="F244" s="3" t="s">
        <v>555</v>
      </c>
      <c r="G244" s="3" t="s">
        <v>549</v>
      </c>
      <c r="H244" s="8">
        <v>22119</v>
      </c>
      <c r="I244" s="8">
        <v>899</v>
      </c>
      <c r="J244" s="8">
        <v>642</v>
      </c>
      <c r="K244" s="8">
        <v>410</v>
      </c>
      <c r="L244" s="7">
        <v>49490</v>
      </c>
      <c r="M244" s="3">
        <v>229420</v>
      </c>
      <c r="N244" s="3" t="s">
        <v>30</v>
      </c>
    </row>
    <row r="245" spans="1:14" ht="14.25" customHeight="1" x14ac:dyDescent="0.3">
      <c r="A245" s="3" t="s">
        <v>414</v>
      </c>
      <c r="B245" s="3" t="s">
        <v>21</v>
      </c>
      <c r="C245" s="6">
        <v>45913</v>
      </c>
      <c r="D245" s="3" t="s">
        <v>28</v>
      </c>
      <c r="E245" s="3" t="s">
        <v>68</v>
      </c>
      <c r="F245" s="3" t="s">
        <v>557</v>
      </c>
      <c r="G245" s="3" t="s">
        <v>33</v>
      </c>
      <c r="H245" s="8">
        <v>15046</v>
      </c>
      <c r="I245" s="8">
        <v>281</v>
      </c>
      <c r="J245" s="8">
        <v>515</v>
      </c>
      <c r="K245" s="8">
        <v>550</v>
      </c>
      <c r="L245" s="7">
        <v>22583</v>
      </c>
      <c r="M245" s="3">
        <v>64596</v>
      </c>
      <c r="N245" s="3" t="s">
        <v>19</v>
      </c>
    </row>
    <row r="246" spans="1:14" ht="14.25" customHeight="1" x14ac:dyDescent="0.3">
      <c r="A246" s="3" t="s">
        <v>415</v>
      </c>
      <c r="B246" s="3" t="s">
        <v>541</v>
      </c>
      <c r="C246" s="6" t="s">
        <v>416</v>
      </c>
      <c r="D246" s="3" t="s">
        <v>14</v>
      </c>
      <c r="E246" s="3" t="s">
        <v>29</v>
      </c>
      <c r="F246" s="3" t="s">
        <v>549</v>
      </c>
      <c r="G246" s="3" t="s">
        <v>550</v>
      </c>
      <c r="H246" s="8">
        <v>4590</v>
      </c>
      <c r="I246" s="8">
        <v>713</v>
      </c>
      <c r="J246" s="8">
        <v>479</v>
      </c>
      <c r="K246" s="8">
        <v>2730</v>
      </c>
      <c r="L246" s="7">
        <v>41050</v>
      </c>
      <c r="M246" s="3">
        <v>204246</v>
      </c>
      <c r="N246" s="3" t="s">
        <v>25</v>
      </c>
    </row>
    <row r="247" spans="1:14" ht="14.25" customHeight="1" x14ac:dyDescent="0.3">
      <c r="A247" s="3" t="s">
        <v>417</v>
      </c>
      <c r="B247" s="3" t="s">
        <v>44</v>
      </c>
      <c r="C247" s="6" t="s">
        <v>418</v>
      </c>
      <c r="D247" s="3" t="s">
        <v>36</v>
      </c>
      <c r="E247" s="3" t="s">
        <v>46</v>
      </c>
      <c r="F247" s="3" t="s">
        <v>555</v>
      </c>
      <c r="G247" s="3" t="s">
        <v>549</v>
      </c>
      <c r="H247" s="8">
        <v>19447</v>
      </c>
      <c r="I247" s="8">
        <v>1014</v>
      </c>
      <c r="J247" s="8">
        <v>256</v>
      </c>
      <c r="K247" s="8">
        <v>2354</v>
      </c>
      <c r="L247" s="7">
        <v>5472</v>
      </c>
      <c r="M247" s="3">
        <v>104106</v>
      </c>
      <c r="N247" s="3" t="s">
        <v>16</v>
      </c>
    </row>
    <row r="248" spans="1:14" ht="14.25" customHeight="1" x14ac:dyDescent="0.3">
      <c r="A248" s="3" t="s">
        <v>419</v>
      </c>
      <c r="B248" s="3" t="s">
        <v>21</v>
      </c>
      <c r="C248" s="6" t="s">
        <v>420</v>
      </c>
      <c r="D248" s="3" t="s">
        <v>14</v>
      </c>
      <c r="E248" s="3" t="s">
        <v>83</v>
      </c>
      <c r="F248" s="3" t="s">
        <v>83</v>
      </c>
      <c r="G248" s="3"/>
      <c r="H248" s="8">
        <v>6324</v>
      </c>
      <c r="I248" s="8">
        <v>908</v>
      </c>
      <c r="J248" s="8">
        <v>375</v>
      </c>
      <c r="K248" s="8">
        <v>758</v>
      </c>
      <c r="L248" s="7">
        <v>34850</v>
      </c>
      <c r="M248" s="3">
        <v>241039</v>
      </c>
      <c r="N248" s="3" t="s">
        <v>16</v>
      </c>
    </row>
    <row r="249" spans="1:14" ht="14.25" customHeight="1" x14ac:dyDescent="0.3">
      <c r="A249" s="3" t="s">
        <v>421</v>
      </c>
      <c r="B249" s="3" t="s">
        <v>21</v>
      </c>
      <c r="C249" s="6">
        <v>45914</v>
      </c>
      <c r="D249" s="3" t="s">
        <v>36</v>
      </c>
      <c r="E249" s="3" t="s">
        <v>60</v>
      </c>
      <c r="F249" s="3" t="s">
        <v>549</v>
      </c>
      <c r="G249" s="3" t="s">
        <v>556</v>
      </c>
      <c r="H249" s="8">
        <v>12787</v>
      </c>
      <c r="I249" s="8">
        <v>945</v>
      </c>
      <c r="J249" s="8">
        <v>974</v>
      </c>
      <c r="K249" s="8">
        <v>1407</v>
      </c>
      <c r="L249" s="7">
        <v>4037</v>
      </c>
      <c r="M249" s="3">
        <v>99182</v>
      </c>
      <c r="N249" s="3" t="s">
        <v>19</v>
      </c>
    </row>
    <row r="250" spans="1:14" ht="14.25" customHeight="1" x14ac:dyDescent="0.3">
      <c r="A250" s="3" t="s">
        <v>422</v>
      </c>
      <c r="B250" s="3" t="s">
        <v>21</v>
      </c>
      <c r="C250" s="6" t="s">
        <v>423</v>
      </c>
      <c r="D250" s="3" t="s">
        <v>28</v>
      </c>
      <c r="E250" s="3" t="s">
        <v>83</v>
      </c>
      <c r="F250" s="3" t="s">
        <v>83</v>
      </c>
      <c r="G250" s="3"/>
      <c r="H250" s="8">
        <v>11111</v>
      </c>
      <c r="I250" s="8">
        <v>1222</v>
      </c>
      <c r="J250" s="8">
        <v>367</v>
      </c>
      <c r="K250" s="8">
        <v>507</v>
      </c>
      <c r="L250" s="7">
        <v>14129</v>
      </c>
      <c r="M250" s="3">
        <v>127163</v>
      </c>
      <c r="N250" s="3" t="s">
        <v>53</v>
      </c>
    </row>
    <row r="251" spans="1:14" ht="14.25" customHeight="1" x14ac:dyDescent="0.3">
      <c r="A251" s="3" t="s">
        <v>424</v>
      </c>
      <c r="B251" s="3" t="s">
        <v>541</v>
      </c>
      <c r="C251" s="6" t="s">
        <v>132</v>
      </c>
      <c r="D251" s="3" t="s">
        <v>23</v>
      </c>
      <c r="E251" s="3" t="s">
        <v>40</v>
      </c>
      <c r="F251" s="3" t="s">
        <v>553</v>
      </c>
      <c r="G251" s="3" t="s">
        <v>554</v>
      </c>
      <c r="H251" s="8">
        <v>7342</v>
      </c>
      <c r="I251" s="8">
        <v>906</v>
      </c>
      <c r="J251" s="8">
        <v>902</v>
      </c>
      <c r="K251" s="8">
        <v>1199</v>
      </c>
      <c r="L251" s="7">
        <v>68488</v>
      </c>
      <c r="M251" s="3">
        <v>79310</v>
      </c>
      <c r="N251" s="3" t="s">
        <v>16</v>
      </c>
    </row>
    <row r="252" spans="1:14" ht="14.25" customHeight="1" x14ac:dyDescent="0.3">
      <c r="A252" s="3" t="s">
        <v>425</v>
      </c>
      <c r="B252" s="3" t="s">
        <v>44</v>
      </c>
      <c r="C252" s="6">
        <v>45915</v>
      </c>
      <c r="D252" s="3" t="s">
        <v>14</v>
      </c>
      <c r="E252" s="3" t="s">
        <v>37</v>
      </c>
      <c r="F252" s="3" t="s">
        <v>551</v>
      </c>
      <c r="G252" s="3" t="s">
        <v>552</v>
      </c>
      <c r="H252" s="8">
        <v>18389</v>
      </c>
      <c r="I252" s="8">
        <v>670</v>
      </c>
      <c r="J252" s="8">
        <v>655</v>
      </c>
      <c r="K252" s="8">
        <v>321</v>
      </c>
      <c r="L252" s="7">
        <v>21869</v>
      </c>
      <c r="M252" s="3">
        <v>96088</v>
      </c>
      <c r="N252" s="3" t="s">
        <v>19</v>
      </c>
    </row>
    <row r="253" spans="1:14" ht="14.25" customHeight="1" x14ac:dyDescent="0.3">
      <c r="A253" s="3" t="s">
        <v>426</v>
      </c>
      <c r="B253" s="3" t="s">
        <v>21</v>
      </c>
      <c r="C253" s="6" t="s">
        <v>311</v>
      </c>
      <c r="D253" s="3" t="s">
        <v>36</v>
      </c>
      <c r="E253" s="3" t="s">
        <v>60</v>
      </c>
      <c r="F253" s="3" t="s">
        <v>549</v>
      </c>
      <c r="G253" s="3" t="s">
        <v>556</v>
      </c>
      <c r="H253" s="8">
        <v>10659</v>
      </c>
      <c r="I253" s="8">
        <v>1342</v>
      </c>
      <c r="J253" s="8">
        <v>408</v>
      </c>
      <c r="K253" s="8">
        <v>709</v>
      </c>
      <c r="L253" s="7">
        <v>16309</v>
      </c>
      <c r="M253" s="3">
        <v>168803</v>
      </c>
      <c r="N253" s="3" t="s">
        <v>25</v>
      </c>
    </row>
    <row r="254" spans="1:14" ht="14.25" customHeight="1" x14ac:dyDescent="0.3">
      <c r="A254" s="3" t="s">
        <v>427</v>
      </c>
      <c r="B254" s="3" t="s">
        <v>542</v>
      </c>
      <c r="C254" s="6">
        <v>45916</v>
      </c>
      <c r="D254" s="3" t="s">
        <v>14</v>
      </c>
      <c r="E254" s="3" t="s">
        <v>83</v>
      </c>
      <c r="F254" s="3" t="s">
        <v>83</v>
      </c>
      <c r="G254" s="3"/>
      <c r="H254" s="8">
        <v>16043</v>
      </c>
      <c r="I254" s="8">
        <v>595</v>
      </c>
      <c r="J254" s="8">
        <v>923</v>
      </c>
      <c r="K254" s="8">
        <v>1194</v>
      </c>
      <c r="L254" s="7">
        <v>52613</v>
      </c>
      <c r="M254" s="3">
        <v>179978</v>
      </c>
      <c r="N254" s="3" t="s">
        <v>19</v>
      </c>
    </row>
    <row r="255" spans="1:14" ht="14.25" customHeight="1" x14ac:dyDescent="0.3">
      <c r="A255" s="3" t="s">
        <v>428</v>
      </c>
      <c r="B255" s="3" t="s">
        <v>21</v>
      </c>
      <c r="C255" s="6" t="s">
        <v>429</v>
      </c>
      <c r="D255" s="3" t="s">
        <v>36</v>
      </c>
      <c r="E255" s="3" t="s">
        <v>60</v>
      </c>
      <c r="F255" s="3" t="s">
        <v>549</v>
      </c>
      <c r="G255" s="3" t="s">
        <v>556</v>
      </c>
      <c r="H255" s="8">
        <v>24350</v>
      </c>
      <c r="I255" s="8">
        <v>460</v>
      </c>
      <c r="J255" s="8">
        <v>666</v>
      </c>
      <c r="K255" s="8">
        <v>814</v>
      </c>
      <c r="L255" s="7">
        <v>21120</v>
      </c>
      <c r="M255" s="3">
        <v>76914</v>
      </c>
      <c r="N255" s="3" t="s">
        <v>16</v>
      </c>
    </row>
    <row r="256" spans="1:14" ht="14.25" customHeight="1" x14ac:dyDescent="0.3">
      <c r="A256" s="3" t="s">
        <v>430</v>
      </c>
      <c r="B256" s="3" t="s">
        <v>21</v>
      </c>
      <c r="C256" s="6" t="s">
        <v>431</v>
      </c>
      <c r="D256" s="3" t="s">
        <v>14</v>
      </c>
      <c r="E256" s="3" t="s">
        <v>167</v>
      </c>
      <c r="F256" s="3" t="s">
        <v>558</v>
      </c>
      <c r="G256" s="3" t="s">
        <v>559</v>
      </c>
      <c r="H256" s="8">
        <v>10837</v>
      </c>
      <c r="I256" s="8">
        <v>1004</v>
      </c>
      <c r="J256" s="8">
        <v>922</v>
      </c>
      <c r="K256" s="8">
        <v>1108</v>
      </c>
      <c r="L256" s="7">
        <v>36807</v>
      </c>
      <c r="M256" s="3">
        <v>150350</v>
      </c>
      <c r="N256" s="3" t="s">
        <v>25</v>
      </c>
    </row>
    <row r="257" spans="1:14" ht="14.25" customHeight="1" x14ac:dyDescent="0.3">
      <c r="A257" s="3" t="s">
        <v>432</v>
      </c>
      <c r="B257" s="3" t="s">
        <v>541</v>
      </c>
      <c r="C257" s="6">
        <v>45917</v>
      </c>
      <c r="D257" s="3" t="s">
        <v>36</v>
      </c>
      <c r="E257" s="3" t="s">
        <v>37</v>
      </c>
      <c r="F257" s="3" t="s">
        <v>551</v>
      </c>
      <c r="G257" s="3" t="s">
        <v>552</v>
      </c>
      <c r="H257" s="8">
        <v>2117</v>
      </c>
      <c r="I257" s="8">
        <v>1133</v>
      </c>
      <c r="J257" s="8">
        <v>203</v>
      </c>
      <c r="K257" s="8">
        <v>1173</v>
      </c>
      <c r="L257" s="7">
        <v>40125</v>
      </c>
      <c r="M257" s="3">
        <v>85379</v>
      </c>
      <c r="N257" s="3" t="s">
        <v>19</v>
      </c>
    </row>
    <row r="258" spans="1:14" ht="14.25" customHeight="1" x14ac:dyDescent="0.3">
      <c r="A258" s="3" t="s">
        <v>433</v>
      </c>
      <c r="B258" s="3" t="s">
        <v>541</v>
      </c>
      <c r="C258" s="6" t="s">
        <v>241</v>
      </c>
      <c r="D258" s="3" t="s">
        <v>36</v>
      </c>
      <c r="E258" s="3" t="s">
        <v>60</v>
      </c>
      <c r="F258" s="3" t="s">
        <v>549</v>
      </c>
      <c r="G258" s="3" t="s">
        <v>556</v>
      </c>
      <c r="H258" s="8">
        <v>15917</v>
      </c>
      <c r="I258" s="8">
        <v>1479</v>
      </c>
      <c r="J258" s="8">
        <v>196</v>
      </c>
      <c r="K258" s="8">
        <v>313</v>
      </c>
      <c r="L258" s="7">
        <v>48524</v>
      </c>
      <c r="M258" s="3">
        <v>249684</v>
      </c>
      <c r="N258" s="3" t="s">
        <v>30</v>
      </c>
    </row>
    <row r="259" spans="1:14" ht="14.25" customHeight="1" x14ac:dyDescent="0.3">
      <c r="A259" s="3" t="s">
        <v>434</v>
      </c>
      <c r="B259" s="3" t="s">
        <v>44</v>
      </c>
      <c r="C259" s="6" t="s">
        <v>435</v>
      </c>
      <c r="D259" s="3" t="s">
        <v>28</v>
      </c>
      <c r="E259" s="3" t="s">
        <v>15</v>
      </c>
      <c r="F259" s="3" t="s">
        <v>543</v>
      </c>
      <c r="G259" s="3" t="s">
        <v>544</v>
      </c>
      <c r="H259" s="8">
        <v>20935</v>
      </c>
      <c r="I259" s="8">
        <v>1104</v>
      </c>
      <c r="J259" s="8">
        <v>876</v>
      </c>
      <c r="K259" s="8">
        <v>1270</v>
      </c>
      <c r="L259" s="7">
        <v>21454</v>
      </c>
      <c r="M259" s="3">
        <v>208722</v>
      </c>
      <c r="N259" s="3" t="s">
        <v>25</v>
      </c>
    </row>
    <row r="260" spans="1:14" ht="14.25" customHeight="1" x14ac:dyDescent="0.3">
      <c r="A260" s="3" t="s">
        <v>436</v>
      </c>
      <c r="B260" s="3" t="s">
        <v>542</v>
      </c>
      <c r="C260" s="6" t="s">
        <v>437</v>
      </c>
      <c r="D260" s="3" t="s">
        <v>36</v>
      </c>
      <c r="E260" s="3" t="s">
        <v>18</v>
      </c>
      <c r="F260" s="3" t="s">
        <v>545</v>
      </c>
      <c r="G260" s="3" t="s">
        <v>546</v>
      </c>
      <c r="H260" s="8">
        <v>16309</v>
      </c>
      <c r="I260" s="8">
        <v>1449</v>
      </c>
      <c r="J260" s="8">
        <v>838</v>
      </c>
      <c r="K260" s="8">
        <v>2434</v>
      </c>
      <c r="L260" s="7">
        <v>2940</v>
      </c>
      <c r="M260" s="3">
        <v>217953</v>
      </c>
      <c r="N260" s="3" t="s">
        <v>30</v>
      </c>
    </row>
    <row r="261" spans="1:14" ht="14.25" customHeight="1" x14ac:dyDescent="0.3">
      <c r="A261" s="3" t="s">
        <v>438</v>
      </c>
      <c r="B261" s="3" t="s">
        <v>541</v>
      </c>
      <c r="C261" s="6" t="s">
        <v>439</v>
      </c>
      <c r="D261" s="3" t="s">
        <v>28</v>
      </c>
      <c r="E261" s="3" t="s">
        <v>18</v>
      </c>
      <c r="F261" s="3" t="s">
        <v>545</v>
      </c>
      <c r="G261" s="3" t="s">
        <v>546</v>
      </c>
      <c r="H261" s="8">
        <v>15234</v>
      </c>
      <c r="I261" s="8">
        <v>1276</v>
      </c>
      <c r="J261" s="8">
        <v>670</v>
      </c>
      <c r="K261" s="8">
        <v>1860</v>
      </c>
      <c r="L261" s="7">
        <v>60397</v>
      </c>
      <c r="M261" s="3">
        <v>86413</v>
      </c>
      <c r="N261" s="3" t="s">
        <v>53</v>
      </c>
    </row>
    <row r="262" spans="1:14" ht="14.25" customHeight="1" x14ac:dyDescent="0.3">
      <c r="A262" s="3" t="s">
        <v>440</v>
      </c>
      <c r="B262" s="3" t="s">
        <v>21</v>
      </c>
      <c r="C262" s="6" t="s">
        <v>441</v>
      </c>
      <c r="D262" s="3" t="s">
        <v>36</v>
      </c>
      <c r="E262" s="3" t="s">
        <v>15</v>
      </c>
      <c r="F262" s="3" t="s">
        <v>543</v>
      </c>
      <c r="G262" s="3" t="s">
        <v>544</v>
      </c>
      <c r="H262" s="8">
        <v>7560</v>
      </c>
      <c r="I262" s="8">
        <v>1139</v>
      </c>
      <c r="J262" s="8">
        <v>248</v>
      </c>
      <c r="K262" s="8">
        <v>1624</v>
      </c>
      <c r="L262" s="7">
        <v>72237</v>
      </c>
      <c r="M262" s="3">
        <v>177084</v>
      </c>
      <c r="N262" s="3" t="s">
        <v>25</v>
      </c>
    </row>
    <row r="263" spans="1:14" ht="14.25" customHeight="1" x14ac:dyDescent="0.3">
      <c r="A263" s="3" t="s">
        <v>442</v>
      </c>
      <c r="B263" s="3" t="s">
        <v>44</v>
      </c>
      <c r="C263" s="6" t="s">
        <v>410</v>
      </c>
      <c r="D263" s="3" t="s">
        <v>23</v>
      </c>
      <c r="E263" s="3" t="s">
        <v>68</v>
      </c>
      <c r="F263" s="3" t="s">
        <v>557</v>
      </c>
      <c r="G263" s="3" t="s">
        <v>33</v>
      </c>
      <c r="H263" s="8">
        <v>22673</v>
      </c>
      <c r="I263" s="8">
        <v>1053</v>
      </c>
      <c r="J263" s="8">
        <v>169</v>
      </c>
      <c r="K263" s="8">
        <v>1566</v>
      </c>
      <c r="L263" s="7">
        <v>9417</v>
      </c>
      <c r="M263" s="3">
        <v>221187</v>
      </c>
      <c r="N263" s="3" t="s">
        <v>30</v>
      </c>
    </row>
    <row r="264" spans="1:14" ht="14.25" customHeight="1" x14ac:dyDescent="0.3">
      <c r="A264" s="3" t="s">
        <v>443</v>
      </c>
      <c r="B264" s="3" t="s">
        <v>21</v>
      </c>
      <c r="C264" s="6" t="s">
        <v>444</v>
      </c>
      <c r="D264" s="3" t="s">
        <v>23</v>
      </c>
      <c r="E264" s="3" t="s">
        <v>33</v>
      </c>
      <c r="F264" s="3" t="s">
        <v>33</v>
      </c>
      <c r="G264" s="3"/>
      <c r="H264" s="8">
        <v>2846</v>
      </c>
      <c r="I264" s="8">
        <v>792</v>
      </c>
      <c r="J264" s="8">
        <v>902</v>
      </c>
      <c r="K264" s="8">
        <v>2469</v>
      </c>
      <c r="L264" s="7">
        <v>12130</v>
      </c>
      <c r="M264" s="3">
        <v>47151</v>
      </c>
      <c r="N264" s="3" t="s">
        <v>16</v>
      </c>
    </row>
    <row r="265" spans="1:14" ht="14.25" customHeight="1" x14ac:dyDescent="0.3">
      <c r="A265" s="3" t="s">
        <v>445</v>
      </c>
      <c r="B265" s="3" t="s">
        <v>21</v>
      </c>
      <c r="C265" s="6" t="s">
        <v>446</v>
      </c>
      <c r="D265" s="3" t="s">
        <v>23</v>
      </c>
      <c r="E265" s="3" t="s">
        <v>68</v>
      </c>
      <c r="F265" s="3" t="s">
        <v>557</v>
      </c>
      <c r="G265" s="3" t="s">
        <v>33</v>
      </c>
      <c r="H265" s="8">
        <v>12954</v>
      </c>
      <c r="I265" s="8">
        <v>913</v>
      </c>
      <c r="J265" s="8">
        <v>722</v>
      </c>
      <c r="K265" s="8">
        <v>1049</v>
      </c>
      <c r="L265" s="7">
        <v>475</v>
      </c>
      <c r="M265" s="3">
        <v>97716</v>
      </c>
      <c r="N265" s="3" t="s">
        <v>16</v>
      </c>
    </row>
    <row r="266" spans="1:14" ht="14.25" customHeight="1" x14ac:dyDescent="0.3">
      <c r="A266" s="3" t="s">
        <v>447</v>
      </c>
      <c r="B266" s="3" t="s">
        <v>541</v>
      </c>
      <c r="C266" s="6" t="s">
        <v>448</v>
      </c>
      <c r="D266" s="3" t="s">
        <v>36</v>
      </c>
      <c r="E266" s="3" t="s">
        <v>46</v>
      </c>
      <c r="F266" s="3" t="s">
        <v>555</v>
      </c>
      <c r="G266" s="3" t="s">
        <v>549</v>
      </c>
      <c r="H266" s="8">
        <v>15703</v>
      </c>
      <c r="I266" s="8">
        <v>1381</v>
      </c>
      <c r="J266" s="8">
        <v>639</v>
      </c>
      <c r="K266" s="8">
        <v>984</v>
      </c>
      <c r="L266" s="7">
        <v>10967</v>
      </c>
      <c r="M266" s="3">
        <v>133747</v>
      </c>
      <c r="N266" s="3" t="s">
        <v>53</v>
      </c>
    </row>
    <row r="267" spans="1:14" ht="14.25" customHeight="1" x14ac:dyDescent="0.3">
      <c r="A267" s="3" t="s">
        <v>449</v>
      </c>
      <c r="B267" s="3" t="s">
        <v>44</v>
      </c>
      <c r="C267" s="6" t="s">
        <v>450</v>
      </c>
      <c r="D267" s="3" t="s">
        <v>28</v>
      </c>
      <c r="E267" s="3" t="s">
        <v>46</v>
      </c>
      <c r="F267" s="3" t="s">
        <v>555</v>
      </c>
      <c r="G267" s="3" t="s">
        <v>549</v>
      </c>
      <c r="H267" s="8">
        <v>17385</v>
      </c>
      <c r="I267" s="8">
        <v>831</v>
      </c>
      <c r="J267" s="8">
        <v>568</v>
      </c>
      <c r="K267" s="8">
        <v>2227</v>
      </c>
      <c r="L267" s="7">
        <v>49351</v>
      </c>
      <c r="M267" s="3">
        <v>207450</v>
      </c>
      <c r="N267" s="3" t="s">
        <v>25</v>
      </c>
    </row>
    <row r="268" spans="1:14" ht="14.25" customHeight="1" x14ac:dyDescent="0.3">
      <c r="A268" s="3" t="s">
        <v>451</v>
      </c>
      <c r="B268" s="3" t="s">
        <v>542</v>
      </c>
      <c r="C268" s="6" t="s">
        <v>340</v>
      </c>
      <c r="D268" s="3" t="s">
        <v>28</v>
      </c>
      <c r="E268" s="3" t="s">
        <v>60</v>
      </c>
      <c r="F268" s="3" t="s">
        <v>549</v>
      </c>
      <c r="G268" s="3" t="s">
        <v>556</v>
      </c>
      <c r="H268" s="8">
        <v>15746</v>
      </c>
      <c r="I268" s="8">
        <v>258</v>
      </c>
      <c r="J268" s="8">
        <v>839</v>
      </c>
      <c r="K268" s="8">
        <v>2656</v>
      </c>
      <c r="L268" s="7">
        <v>66614</v>
      </c>
      <c r="M268" s="3">
        <v>213724</v>
      </c>
      <c r="N268" s="3" t="s">
        <v>25</v>
      </c>
    </row>
    <row r="269" spans="1:14" ht="14.25" customHeight="1" x14ac:dyDescent="0.3">
      <c r="A269" s="3" t="s">
        <v>452</v>
      </c>
      <c r="B269" s="3" t="s">
        <v>542</v>
      </c>
      <c r="C269" s="6" t="s">
        <v>453</v>
      </c>
      <c r="D269" s="3" t="s">
        <v>36</v>
      </c>
      <c r="E269" s="3" t="s">
        <v>83</v>
      </c>
      <c r="F269" s="3" t="s">
        <v>83</v>
      </c>
      <c r="G269" s="3"/>
      <c r="H269" s="8">
        <v>24700</v>
      </c>
      <c r="I269" s="8">
        <v>327</v>
      </c>
      <c r="J269" s="8">
        <v>999</v>
      </c>
      <c r="K269" s="8">
        <v>994</v>
      </c>
      <c r="L269" s="7">
        <v>59400</v>
      </c>
      <c r="M269" s="3">
        <v>243502</v>
      </c>
      <c r="N269" s="3" t="s">
        <v>25</v>
      </c>
    </row>
    <row r="270" spans="1:14" ht="14.25" customHeight="1" x14ac:dyDescent="0.3">
      <c r="A270" s="3" t="s">
        <v>454</v>
      </c>
      <c r="B270" s="3" t="s">
        <v>541</v>
      </c>
      <c r="C270" s="6" t="s">
        <v>455</v>
      </c>
      <c r="D270" s="3" t="s">
        <v>23</v>
      </c>
      <c r="E270" s="3" t="s">
        <v>83</v>
      </c>
      <c r="F270" s="3" t="s">
        <v>83</v>
      </c>
      <c r="G270" s="3"/>
      <c r="H270" s="8">
        <v>8469</v>
      </c>
      <c r="I270" s="8">
        <v>935</v>
      </c>
      <c r="J270" s="8">
        <v>211</v>
      </c>
      <c r="K270" s="8">
        <v>2635</v>
      </c>
      <c r="L270" s="7">
        <v>21890</v>
      </c>
      <c r="M270" s="3">
        <v>184539</v>
      </c>
      <c r="N270" s="3" t="s">
        <v>53</v>
      </c>
    </row>
    <row r="271" spans="1:14" ht="14.25" customHeight="1" x14ac:dyDescent="0.3">
      <c r="A271" s="3" t="s">
        <v>456</v>
      </c>
      <c r="B271" s="3" t="s">
        <v>541</v>
      </c>
      <c r="C271" s="6" t="s">
        <v>355</v>
      </c>
      <c r="D271" s="3" t="s">
        <v>23</v>
      </c>
      <c r="E271" s="3" t="s">
        <v>18</v>
      </c>
      <c r="F271" s="3" t="s">
        <v>545</v>
      </c>
      <c r="G271" s="3" t="s">
        <v>546</v>
      </c>
      <c r="H271" s="8">
        <v>11333</v>
      </c>
      <c r="I271" s="8">
        <v>920</v>
      </c>
      <c r="J271" s="8">
        <v>294</v>
      </c>
      <c r="K271" s="8">
        <v>606</v>
      </c>
      <c r="L271" s="7">
        <v>59490</v>
      </c>
      <c r="M271" s="3">
        <v>202082</v>
      </c>
      <c r="N271" s="3" t="s">
        <v>25</v>
      </c>
    </row>
    <row r="272" spans="1:14" ht="14.25" customHeight="1" x14ac:dyDescent="0.3">
      <c r="A272" s="3" t="s">
        <v>457</v>
      </c>
      <c r="B272" s="3" t="s">
        <v>44</v>
      </c>
      <c r="C272" s="6" t="s">
        <v>458</v>
      </c>
      <c r="D272" s="3" t="s">
        <v>28</v>
      </c>
      <c r="E272" s="3" t="s">
        <v>24</v>
      </c>
      <c r="F272" s="3" t="s">
        <v>547</v>
      </c>
      <c r="G272" s="3" t="s">
        <v>548</v>
      </c>
      <c r="H272" s="8">
        <v>18608</v>
      </c>
      <c r="I272" s="8">
        <v>1338</v>
      </c>
      <c r="J272" s="8">
        <v>365</v>
      </c>
      <c r="K272" s="8">
        <v>2289</v>
      </c>
      <c r="L272" s="7">
        <v>20785</v>
      </c>
      <c r="M272" s="3">
        <v>161999</v>
      </c>
      <c r="N272" s="3" t="s">
        <v>16</v>
      </c>
    </row>
    <row r="273" spans="1:14" ht="14.25" customHeight="1" x14ac:dyDescent="0.3">
      <c r="A273" s="3" t="s">
        <v>459</v>
      </c>
      <c r="B273" s="3" t="s">
        <v>542</v>
      </c>
      <c r="C273" s="6" t="s">
        <v>460</v>
      </c>
      <c r="D273" s="3" t="s">
        <v>23</v>
      </c>
      <c r="E273" s="3" t="s">
        <v>68</v>
      </c>
      <c r="F273" s="3" t="s">
        <v>557</v>
      </c>
      <c r="G273" s="3" t="s">
        <v>33</v>
      </c>
      <c r="H273" s="8">
        <v>14819</v>
      </c>
      <c r="I273" s="8">
        <v>1432</v>
      </c>
      <c r="J273" s="8">
        <v>152</v>
      </c>
      <c r="K273" s="8">
        <v>961</v>
      </c>
      <c r="L273" s="7">
        <v>39154</v>
      </c>
      <c r="M273" s="3">
        <v>154793</v>
      </c>
      <c r="N273" s="3" t="s">
        <v>30</v>
      </c>
    </row>
    <row r="274" spans="1:14" ht="14.25" customHeight="1" x14ac:dyDescent="0.3">
      <c r="A274" s="3" t="s">
        <v>461</v>
      </c>
      <c r="B274" s="3" t="s">
        <v>542</v>
      </c>
      <c r="C274" s="6" t="s">
        <v>462</v>
      </c>
      <c r="D274" s="3" t="s">
        <v>14</v>
      </c>
      <c r="E274" s="3" t="s">
        <v>167</v>
      </c>
      <c r="F274" s="3" t="s">
        <v>558</v>
      </c>
      <c r="G274" s="3" t="s">
        <v>559</v>
      </c>
      <c r="H274" s="8">
        <v>6208</v>
      </c>
      <c r="I274" s="8">
        <v>725</v>
      </c>
      <c r="J274" s="8">
        <v>309</v>
      </c>
      <c r="K274" s="8">
        <v>848</v>
      </c>
      <c r="L274" s="7">
        <v>39319</v>
      </c>
      <c r="M274" s="3">
        <v>225763</v>
      </c>
      <c r="N274" s="3" t="s">
        <v>16</v>
      </c>
    </row>
    <row r="275" spans="1:14" ht="14.25" customHeight="1" x14ac:dyDescent="0.3">
      <c r="A275" s="3" t="s">
        <v>463</v>
      </c>
      <c r="B275" s="3" t="s">
        <v>542</v>
      </c>
      <c r="C275" s="6" t="s">
        <v>282</v>
      </c>
      <c r="D275" s="3" t="s">
        <v>28</v>
      </c>
      <c r="E275" s="3" t="s">
        <v>37</v>
      </c>
      <c r="F275" s="3" t="s">
        <v>551</v>
      </c>
      <c r="G275" s="3" t="s">
        <v>552</v>
      </c>
      <c r="H275" s="8">
        <v>8283</v>
      </c>
      <c r="I275" s="8">
        <v>720</v>
      </c>
      <c r="J275" s="8">
        <v>888</v>
      </c>
      <c r="K275" s="8">
        <v>611</v>
      </c>
      <c r="L275" s="7">
        <v>52791</v>
      </c>
      <c r="M275" s="3">
        <v>235229</v>
      </c>
      <c r="N275" s="3" t="s">
        <v>16</v>
      </c>
    </row>
    <row r="276" spans="1:14" ht="14.25" customHeight="1" x14ac:dyDescent="0.3">
      <c r="A276" s="3" t="s">
        <v>464</v>
      </c>
      <c r="B276" s="3" t="s">
        <v>21</v>
      </c>
      <c r="C276" s="6" t="s">
        <v>435</v>
      </c>
      <c r="D276" s="3" t="s">
        <v>23</v>
      </c>
      <c r="E276" s="3" t="s">
        <v>40</v>
      </c>
      <c r="F276" s="3" t="s">
        <v>553</v>
      </c>
      <c r="G276" s="3" t="s">
        <v>554</v>
      </c>
      <c r="H276" s="8">
        <v>4048</v>
      </c>
      <c r="I276" s="8">
        <v>751</v>
      </c>
      <c r="J276" s="8">
        <v>930</v>
      </c>
      <c r="K276" s="8">
        <v>1382</v>
      </c>
      <c r="L276" s="7">
        <v>16844</v>
      </c>
      <c r="M276" s="3">
        <v>148177</v>
      </c>
      <c r="N276" s="3" t="s">
        <v>30</v>
      </c>
    </row>
    <row r="277" spans="1:14" ht="14.25" customHeight="1" x14ac:dyDescent="0.3">
      <c r="A277" s="3" t="s">
        <v>465</v>
      </c>
      <c r="B277" s="3" t="s">
        <v>542</v>
      </c>
      <c r="C277" s="6" t="s">
        <v>466</v>
      </c>
      <c r="D277" s="3" t="s">
        <v>28</v>
      </c>
      <c r="E277" s="3" t="s">
        <v>29</v>
      </c>
      <c r="F277" s="3" t="s">
        <v>549</v>
      </c>
      <c r="G277" s="3" t="s">
        <v>550</v>
      </c>
      <c r="H277" s="8">
        <v>8233</v>
      </c>
      <c r="I277" s="8">
        <v>436</v>
      </c>
      <c r="J277" s="8">
        <v>269</v>
      </c>
      <c r="K277" s="8">
        <v>2037</v>
      </c>
      <c r="L277" s="7">
        <v>8875</v>
      </c>
      <c r="M277" s="3">
        <v>52289</v>
      </c>
      <c r="N277" s="3" t="s">
        <v>16</v>
      </c>
    </row>
    <row r="278" spans="1:14" ht="14.25" customHeight="1" x14ac:dyDescent="0.3">
      <c r="A278" s="3" t="s">
        <v>467</v>
      </c>
      <c r="B278" s="3" t="s">
        <v>21</v>
      </c>
      <c r="C278" s="6" t="s">
        <v>241</v>
      </c>
      <c r="D278" s="3" t="s">
        <v>14</v>
      </c>
      <c r="E278" s="3" t="s">
        <v>83</v>
      </c>
      <c r="F278" s="3" t="s">
        <v>83</v>
      </c>
      <c r="G278" s="3"/>
      <c r="H278" s="8">
        <v>14941</v>
      </c>
      <c r="I278" s="8">
        <v>1424</v>
      </c>
      <c r="J278" s="8">
        <v>238</v>
      </c>
      <c r="K278" s="8">
        <v>1054</v>
      </c>
      <c r="L278" s="7">
        <v>20516</v>
      </c>
      <c r="M278" s="3">
        <v>216048</v>
      </c>
      <c r="N278" s="3" t="s">
        <v>53</v>
      </c>
    </row>
    <row r="279" spans="1:14" ht="14.25" customHeight="1" x14ac:dyDescent="0.3">
      <c r="A279" s="3" t="s">
        <v>468</v>
      </c>
      <c r="B279" s="3" t="s">
        <v>44</v>
      </c>
      <c r="C279" s="6" t="s">
        <v>469</v>
      </c>
      <c r="D279" s="3" t="s">
        <v>28</v>
      </c>
      <c r="E279" s="3" t="s">
        <v>37</v>
      </c>
      <c r="F279" s="3" t="s">
        <v>551</v>
      </c>
      <c r="G279" s="3" t="s">
        <v>552</v>
      </c>
      <c r="H279" s="8">
        <v>14607</v>
      </c>
      <c r="I279" s="8">
        <v>1458</v>
      </c>
      <c r="J279" s="8">
        <v>478</v>
      </c>
      <c r="K279" s="8">
        <v>334</v>
      </c>
      <c r="L279" s="7">
        <v>49257</v>
      </c>
      <c r="M279" s="3">
        <v>214668</v>
      </c>
      <c r="N279" s="3" t="s">
        <v>30</v>
      </c>
    </row>
    <row r="280" spans="1:14" ht="14.25" customHeight="1" x14ac:dyDescent="0.3">
      <c r="A280" s="3" t="s">
        <v>470</v>
      </c>
      <c r="B280" s="3" t="s">
        <v>21</v>
      </c>
      <c r="C280" s="6" t="s">
        <v>154</v>
      </c>
      <c r="D280" s="3" t="s">
        <v>28</v>
      </c>
      <c r="E280" s="3" t="s">
        <v>29</v>
      </c>
      <c r="F280" s="3" t="s">
        <v>549</v>
      </c>
      <c r="G280" s="3" t="s">
        <v>550</v>
      </c>
      <c r="H280" s="8">
        <v>11765</v>
      </c>
      <c r="I280" s="8">
        <v>693</v>
      </c>
      <c r="J280" s="8">
        <v>729</v>
      </c>
      <c r="K280" s="8">
        <v>744</v>
      </c>
      <c r="L280" s="7">
        <v>97772</v>
      </c>
      <c r="M280" s="3">
        <v>194243</v>
      </c>
      <c r="N280" s="3" t="s">
        <v>16</v>
      </c>
    </row>
    <row r="281" spans="1:14" ht="14.25" customHeight="1" x14ac:dyDescent="0.3">
      <c r="A281" s="3" t="s">
        <v>471</v>
      </c>
      <c r="B281" s="3" t="s">
        <v>44</v>
      </c>
      <c r="C281" s="6">
        <v>45918</v>
      </c>
      <c r="D281" s="3" t="s">
        <v>28</v>
      </c>
      <c r="E281" s="3" t="s">
        <v>37</v>
      </c>
      <c r="F281" s="3" t="s">
        <v>551</v>
      </c>
      <c r="G281" s="3" t="s">
        <v>552</v>
      </c>
      <c r="H281" s="8">
        <v>3828</v>
      </c>
      <c r="I281" s="8">
        <v>203</v>
      </c>
      <c r="J281" s="8">
        <v>506</v>
      </c>
      <c r="K281" s="8">
        <v>2440</v>
      </c>
      <c r="L281" s="7">
        <v>63650</v>
      </c>
      <c r="M281" s="3">
        <v>126365</v>
      </c>
      <c r="N281" s="3" t="s">
        <v>19</v>
      </c>
    </row>
    <row r="282" spans="1:14" ht="14.25" customHeight="1" x14ac:dyDescent="0.3">
      <c r="A282" s="3" t="s">
        <v>472</v>
      </c>
      <c r="B282" s="3" t="s">
        <v>542</v>
      </c>
      <c r="C282" s="6" t="s">
        <v>473</v>
      </c>
      <c r="D282" s="3" t="s">
        <v>28</v>
      </c>
      <c r="E282" s="3" t="s">
        <v>60</v>
      </c>
      <c r="F282" s="3" t="s">
        <v>549</v>
      </c>
      <c r="G282" s="3" t="s">
        <v>556</v>
      </c>
      <c r="H282" s="8">
        <v>3917</v>
      </c>
      <c r="I282" s="8">
        <v>865</v>
      </c>
      <c r="J282" s="8">
        <v>759</v>
      </c>
      <c r="K282" s="8">
        <v>2282</v>
      </c>
      <c r="L282" s="7">
        <v>56125</v>
      </c>
      <c r="M282" s="3">
        <v>154014</v>
      </c>
      <c r="N282" s="3" t="s">
        <v>16</v>
      </c>
    </row>
    <row r="283" spans="1:14" ht="14.25" customHeight="1" x14ac:dyDescent="0.3">
      <c r="A283" s="3" t="s">
        <v>474</v>
      </c>
      <c r="B283" s="3" t="s">
        <v>542</v>
      </c>
      <c r="C283" s="6" t="s">
        <v>475</v>
      </c>
      <c r="D283" s="3" t="s">
        <v>14</v>
      </c>
      <c r="E283" s="3" t="s">
        <v>29</v>
      </c>
      <c r="F283" s="3" t="s">
        <v>549</v>
      </c>
      <c r="G283" s="3" t="s">
        <v>550</v>
      </c>
      <c r="H283" s="8">
        <v>22618</v>
      </c>
      <c r="I283" s="8">
        <v>641</v>
      </c>
      <c r="J283" s="8">
        <v>416</v>
      </c>
      <c r="K283" s="8">
        <v>1530</v>
      </c>
      <c r="L283" s="7">
        <v>18395</v>
      </c>
      <c r="M283" s="3">
        <v>215211</v>
      </c>
      <c r="N283" s="3" t="s">
        <v>53</v>
      </c>
    </row>
    <row r="284" spans="1:14" ht="14.25" customHeight="1" x14ac:dyDescent="0.3">
      <c r="A284" s="3" t="s">
        <v>476</v>
      </c>
      <c r="B284" s="3" t="s">
        <v>44</v>
      </c>
      <c r="C284" s="6" t="s">
        <v>477</v>
      </c>
      <c r="D284" s="3" t="s">
        <v>36</v>
      </c>
      <c r="E284" s="3" t="s">
        <v>40</v>
      </c>
      <c r="F284" s="3" t="s">
        <v>553</v>
      </c>
      <c r="G284" s="3" t="s">
        <v>554</v>
      </c>
      <c r="H284" s="8">
        <v>8988</v>
      </c>
      <c r="I284" s="8">
        <v>228</v>
      </c>
      <c r="J284" s="8">
        <v>766</v>
      </c>
      <c r="K284" s="8">
        <v>652</v>
      </c>
      <c r="L284" s="7">
        <v>63789</v>
      </c>
      <c r="M284" s="3">
        <v>219785</v>
      </c>
      <c r="N284" s="3" t="s">
        <v>25</v>
      </c>
    </row>
    <row r="285" spans="1:14" ht="14.25" customHeight="1" x14ac:dyDescent="0.3">
      <c r="A285" s="3" t="s">
        <v>478</v>
      </c>
      <c r="B285" s="3" t="s">
        <v>541</v>
      </c>
      <c r="C285" s="6" t="s">
        <v>79</v>
      </c>
      <c r="D285" s="3" t="s">
        <v>28</v>
      </c>
      <c r="E285" s="3" t="s">
        <v>37</v>
      </c>
      <c r="F285" s="3" t="s">
        <v>551</v>
      </c>
      <c r="G285" s="3" t="s">
        <v>552</v>
      </c>
      <c r="H285" s="8">
        <v>20410</v>
      </c>
      <c r="I285" s="8">
        <v>1332</v>
      </c>
      <c r="J285" s="8">
        <v>472</v>
      </c>
      <c r="K285" s="8">
        <v>1202</v>
      </c>
      <c r="L285" s="7">
        <v>9418</v>
      </c>
      <c r="M285" s="3">
        <v>200806</v>
      </c>
      <c r="N285" s="3" t="s">
        <v>16</v>
      </c>
    </row>
    <row r="286" spans="1:14" ht="14.25" customHeight="1" x14ac:dyDescent="0.3">
      <c r="A286" s="3" t="s">
        <v>479</v>
      </c>
      <c r="B286" s="3" t="s">
        <v>44</v>
      </c>
      <c r="C286" s="6" t="s">
        <v>423</v>
      </c>
      <c r="D286" s="3" t="s">
        <v>28</v>
      </c>
      <c r="E286" s="3" t="s">
        <v>15</v>
      </c>
      <c r="F286" s="3" t="s">
        <v>543</v>
      </c>
      <c r="G286" s="3" t="s">
        <v>544</v>
      </c>
      <c r="H286" s="8">
        <v>16594</v>
      </c>
      <c r="I286" s="8">
        <v>809</v>
      </c>
      <c r="J286" s="8">
        <v>784</v>
      </c>
      <c r="K286" s="8">
        <v>1655</v>
      </c>
      <c r="L286" s="7">
        <v>35505</v>
      </c>
      <c r="M286" s="3">
        <v>112588</v>
      </c>
      <c r="N286" s="3" t="s">
        <v>25</v>
      </c>
    </row>
    <row r="287" spans="1:14" ht="14.25" customHeight="1" x14ac:dyDescent="0.3">
      <c r="A287" s="3" t="s">
        <v>480</v>
      </c>
      <c r="B287" s="3" t="s">
        <v>541</v>
      </c>
      <c r="C287" s="6">
        <v>45919</v>
      </c>
      <c r="D287" s="3" t="s">
        <v>23</v>
      </c>
      <c r="E287" s="3" t="s">
        <v>40</v>
      </c>
      <c r="F287" s="3" t="s">
        <v>553</v>
      </c>
      <c r="G287" s="3" t="s">
        <v>554</v>
      </c>
      <c r="H287" s="8">
        <v>22128</v>
      </c>
      <c r="I287" s="8">
        <v>1004</v>
      </c>
      <c r="J287" s="8">
        <v>690</v>
      </c>
      <c r="K287" s="8">
        <v>2048</v>
      </c>
      <c r="L287" s="7">
        <v>19443</v>
      </c>
      <c r="M287" s="3">
        <v>103646</v>
      </c>
      <c r="N287" s="3" t="s">
        <v>19</v>
      </c>
    </row>
    <row r="288" spans="1:14" ht="14.25" customHeight="1" x14ac:dyDescent="0.3">
      <c r="A288" s="3" t="s">
        <v>481</v>
      </c>
      <c r="B288" s="3" t="s">
        <v>21</v>
      </c>
      <c r="C288" s="6" t="s">
        <v>347</v>
      </c>
      <c r="D288" s="3" t="s">
        <v>28</v>
      </c>
      <c r="E288" s="3" t="s">
        <v>29</v>
      </c>
      <c r="F288" s="3" t="s">
        <v>549</v>
      </c>
      <c r="G288" s="3" t="s">
        <v>550</v>
      </c>
      <c r="H288" s="8">
        <v>14977</v>
      </c>
      <c r="I288" s="8">
        <v>274</v>
      </c>
      <c r="J288" s="8">
        <v>798</v>
      </c>
      <c r="K288" s="8">
        <v>458</v>
      </c>
      <c r="L288" s="7">
        <v>6636</v>
      </c>
      <c r="M288" s="3">
        <v>43654</v>
      </c>
      <c r="N288" s="3" t="s">
        <v>16</v>
      </c>
    </row>
    <row r="289" spans="1:14" ht="14.25" customHeight="1" x14ac:dyDescent="0.3">
      <c r="A289" s="3" t="s">
        <v>482</v>
      </c>
      <c r="B289" s="3" t="s">
        <v>21</v>
      </c>
      <c r="C289" s="6" t="s">
        <v>483</v>
      </c>
      <c r="D289" s="3" t="s">
        <v>23</v>
      </c>
      <c r="E289" s="3" t="s">
        <v>40</v>
      </c>
      <c r="F289" s="3" t="s">
        <v>553</v>
      </c>
      <c r="G289" s="3" t="s">
        <v>554</v>
      </c>
      <c r="H289" s="8">
        <v>2009</v>
      </c>
      <c r="I289" s="8">
        <v>1037</v>
      </c>
      <c r="J289" s="8">
        <v>344</v>
      </c>
      <c r="K289" s="8">
        <v>2277</v>
      </c>
      <c r="L289" s="7">
        <v>85743</v>
      </c>
      <c r="M289" s="3">
        <v>58743</v>
      </c>
      <c r="N289" s="3" t="s">
        <v>30</v>
      </c>
    </row>
    <row r="290" spans="1:14" ht="14.25" customHeight="1" x14ac:dyDescent="0.3">
      <c r="A290" s="3" t="s">
        <v>484</v>
      </c>
      <c r="B290" s="3" t="s">
        <v>21</v>
      </c>
      <c r="C290" s="6" t="s">
        <v>257</v>
      </c>
      <c r="D290" s="3" t="s">
        <v>36</v>
      </c>
      <c r="E290" s="3" t="s">
        <v>37</v>
      </c>
      <c r="F290" s="3" t="s">
        <v>551</v>
      </c>
      <c r="G290" s="3" t="s">
        <v>552</v>
      </c>
      <c r="H290" s="8">
        <v>18644</v>
      </c>
      <c r="I290" s="8">
        <v>1369</v>
      </c>
      <c r="J290" s="8">
        <v>887</v>
      </c>
      <c r="K290" s="8">
        <v>1256</v>
      </c>
      <c r="L290" s="7">
        <v>43415</v>
      </c>
      <c r="M290" s="3">
        <v>88368</v>
      </c>
      <c r="N290" s="3" t="s">
        <v>25</v>
      </c>
    </row>
    <row r="291" spans="1:14" ht="14.25" customHeight="1" x14ac:dyDescent="0.3">
      <c r="A291" s="3" t="s">
        <v>485</v>
      </c>
      <c r="B291" s="3" t="s">
        <v>542</v>
      </c>
      <c r="C291" s="6">
        <v>45920</v>
      </c>
      <c r="D291" s="3" t="s">
        <v>14</v>
      </c>
      <c r="E291" s="3" t="s">
        <v>33</v>
      </c>
      <c r="F291" s="3" t="s">
        <v>33</v>
      </c>
      <c r="G291" s="3"/>
      <c r="H291" s="8">
        <v>24422</v>
      </c>
      <c r="I291" s="8">
        <v>327</v>
      </c>
      <c r="J291" s="8">
        <v>481</v>
      </c>
      <c r="K291" s="8">
        <v>2371</v>
      </c>
      <c r="L291" s="7">
        <v>35340</v>
      </c>
      <c r="M291" s="3">
        <v>245244</v>
      </c>
      <c r="N291" s="3" t="s">
        <v>19</v>
      </c>
    </row>
    <row r="292" spans="1:14" ht="14.25" customHeight="1" x14ac:dyDescent="0.3">
      <c r="A292" s="3" t="s">
        <v>486</v>
      </c>
      <c r="B292" s="3" t="s">
        <v>21</v>
      </c>
      <c r="C292" s="6" t="s">
        <v>72</v>
      </c>
      <c r="D292" s="3" t="s">
        <v>14</v>
      </c>
      <c r="E292" s="3" t="s">
        <v>37</v>
      </c>
      <c r="F292" s="3" t="s">
        <v>551</v>
      </c>
      <c r="G292" s="3" t="s">
        <v>552</v>
      </c>
      <c r="H292" s="8">
        <v>11865</v>
      </c>
      <c r="I292" s="8">
        <v>241</v>
      </c>
      <c r="J292" s="8">
        <v>319</v>
      </c>
      <c r="K292" s="8">
        <v>703</v>
      </c>
      <c r="L292" s="7">
        <v>69596</v>
      </c>
      <c r="M292" s="3">
        <v>177513</v>
      </c>
      <c r="N292" s="3" t="s">
        <v>30</v>
      </c>
    </row>
    <row r="293" spans="1:14" ht="14.25" customHeight="1" x14ac:dyDescent="0.3">
      <c r="A293" s="3" t="s">
        <v>487</v>
      </c>
      <c r="B293" s="3" t="s">
        <v>541</v>
      </c>
      <c r="C293" s="6" t="s">
        <v>488</v>
      </c>
      <c r="D293" s="3" t="s">
        <v>36</v>
      </c>
      <c r="E293" s="3" t="s">
        <v>37</v>
      </c>
      <c r="F293" s="3" t="s">
        <v>551</v>
      </c>
      <c r="G293" s="3" t="s">
        <v>552</v>
      </c>
      <c r="H293" s="8">
        <v>4219</v>
      </c>
      <c r="I293" s="8">
        <v>240</v>
      </c>
      <c r="J293" s="8">
        <v>670</v>
      </c>
      <c r="K293" s="8">
        <v>815</v>
      </c>
      <c r="L293" s="7">
        <v>11978</v>
      </c>
      <c r="M293" s="3">
        <v>159735</v>
      </c>
      <c r="N293" s="3" t="s">
        <v>30</v>
      </c>
    </row>
    <row r="294" spans="1:14" ht="14.25" customHeight="1" x14ac:dyDescent="0.3">
      <c r="A294" s="3" t="s">
        <v>489</v>
      </c>
      <c r="B294" s="3" t="s">
        <v>21</v>
      </c>
      <c r="C294" s="6" t="s">
        <v>490</v>
      </c>
      <c r="D294" s="3" t="s">
        <v>14</v>
      </c>
      <c r="E294" s="3" t="s">
        <v>60</v>
      </c>
      <c r="F294" s="3" t="s">
        <v>549</v>
      </c>
      <c r="G294" s="3" t="s">
        <v>556</v>
      </c>
      <c r="H294" s="8">
        <v>9041</v>
      </c>
      <c r="I294" s="8">
        <v>1133</v>
      </c>
      <c r="J294" s="8">
        <v>612</v>
      </c>
      <c r="K294" s="8">
        <v>1687</v>
      </c>
      <c r="L294" s="7">
        <v>28102</v>
      </c>
      <c r="M294" s="3">
        <v>195683</v>
      </c>
      <c r="N294" s="3" t="s">
        <v>30</v>
      </c>
    </row>
    <row r="295" spans="1:14" ht="14.25" customHeight="1" x14ac:dyDescent="0.3">
      <c r="A295" s="3" t="s">
        <v>491</v>
      </c>
      <c r="B295" s="3" t="s">
        <v>44</v>
      </c>
      <c r="C295" s="6" t="s">
        <v>492</v>
      </c>
      <c r="D295" s="3" t="s">
        <v>36</v>
      </c>
      <c r="E295" s="3" t="s">
        <v>68</v>
      </c>
      <c r="F295" s="3" t="s">
        <v>557</v>
      </c>
      <c r="G295" s="3" t="s">
        <v>33</v>
      </c>
      <c r="H295" s="8">
        <v>20444</v>
      </c>
      <c r="I295" s="8">
        <v>233</v>
      </c>
      <c r="J295" s="8">
        <v>189</v>
      </c>
      <c r="K295" s="8">
        <v>2879</v>
      </c>
      <c r="L295" s="7">
        <v>28185</v>
      </c>
      <c r="M295" s="3">
        <v>159891</v>
      </c>
      <c r="N295" s="3" t="s">
        <v>30</v>
      </c>
    </row>
    <row r="296" spans="1:14" ht="14.25" customHeight="1" x14ac:dyDescent="0.3">
      <c r="A296" s="3" t="s">
        <v>493</v>
      </c>
      <c r="B296" s="3" t="s">
        <v>44</v>
      </c>
      <c r="C296" s="6" t="s">
        <v>494</v>
      </c>
      <c r="D296" s="3" t="s">
        <v>36</v>
      </c>
      <c r="E296" s="3" t="s">
        <v>15</v>
      </c>
      <c r="F296" s="3" t="s">
        <v>543</v>
      </c>
      <c r="G296" s="3" t="s">
        <v>544</v>
      </c>
      <c r="H296" s="8">
        <v>7287</v>
      </c>
      <c r="I296" s="8">
        <v>1240</v>
      </c>
      <c r="J296" s="8">
        <v>686</v>
      </c>
      <c r="K296" s="8">
        <v>1255</v>
      </c>
      <c r="L296" s="7">
        <v>15403</v>
      </c>
      <c r="M296" s="3">
        <v>147971</v>
      </c>
      <c r="N296" s="3" t="s">
        <v>16</v>
      </c>
    </row>
    <row r="297" spans="1:14" ht="14.25" customHeight="1" x14ac:dyDescent="0.3">
      <c r="A297" s="3" t="s">
        <v>495</v>
      </c>
      <c r="B297" s="3" t="s">
        <v>542</v>
      </c>
      <c r="C297" s="6" t="s">
        <v>496</v>
      </c>
      <c r="D297" s="3" t="s">
        <v>36</v>
      </c>
      <c r="E297" s="3" t="s">
        <v>167</v>
      </c>
      <c r="F297" s="3" t="s">
        <v>558</v>
      </c>
      <c r="G297" s="3" t="s">
        <v>559</v>
      </c>
      <c r="H297" s="8">
        <v>3619</v>
      </c>
      <c r="I297" s="8">
        <v>1376</v>
      </c>
      <c r="J297" s="8">
        <v>410</v>
      </c>
      <c r="K297" s="8">
        <v>2499</v>
      </c>
      <c r="L297" s="7">
        <v>58146</v>
      </c>
      <c r="M297" s="3">
        <v>52149</v>
      </c>
      <c r="N297" s="3" t="s">
        <v>16</v>
      </c>
    </row>
    <row r="298" spans="1:14" ht="14.25" customHeight="1" x14ac:dyDescent="0.3">
      <c r="A298" s="3" t="s">
        <v>497</v>
      </c>
      <c r="B298" s="3" t="s">
        <v>44</v>
      </c>
      <c r="C298" s="6" t="s">
        <v>498</v>
      </c>
      <c r="D298" s="3" t="s">
        <v>14</v>
      </c>
      <c r="E298" s="3" t="s">
        <v>83</v>
      </c>
      <c r="F298" s="3" t="s">
        <v>83</v>
      </c>
      <c r="G298" s="3"/>
      <c r="H298" s="8">
        <v>10512</v>
      </c>
      <c r="I298" s="8">
        <v>1197</v>
      </c>
      <c r="J298" s="8">
        <v>544</v>
      </c>
      <c r="K298" s="8">
        <v>2012</v>
      </c>
      <c r="L298" s="7">
        <v>10245</v>
      </c>
      <c r="M298" s="3">
        <v>140102</v>
      </c>
      <c r="N298" s="3" t="s">
        <v>16</v>
      </c>
    </row>
    <row r="299" spans="1:14" ht="14.25" customHeight="1" x14ac:dyDescent="0.3">
      <c r="A299" s="3" t="s">
        <v>499</v>
      </c>
      <c r="B299" s="3" t="s">
        <v>541</v>
      </c>
      <c r="C299" s="6">
        <v>45924</v>
      </c>
      <c r="D299" s="3" t="s">
        <v>23</v>
      </c>
      <c r="E299" s="3" t="s">
        <v>46</v>
      </c>
      <c r="F299" s="3" t="s">
        <v>555</v>
      </c>
      <c r="G299" s="3" t="s">
        <v>549</v>
      </c>
      <c r="H299" s="8">
        <v>3342</v>
      </c>
      <c r="I299" s="8">
        <v>787</v>
      </c>
      <c r="J299" s="8">
        <v>375</v>
      </c>
      <c r="K299" s="8">
        <v>907</v>
      </c>
      <c r="L299" s="7">
        <v>85823</v>
      </c>
      <c r="M299" s="3">
        <v>99189</v>
      </c>
      <c r="N299" s="3" t="s">
        <v>19</v>
      </c>
    </row>
    <row r="300" spans="1:14" ht="14.25" customHeight="1" x14ac:dyDescent="0.3">
      <c r="A300" s="3" t="s">
        <v>500</v>
      </c>
      <c r="B300" s="3" t="s">
        <v>21</v>
      </c>
      <c r="C300" s="6">
        <v>45925</v>
      </c>
      <c r="D300" s="3" t="s">
        <v>36</v>
      </c>
      <c r="E300" s="3" t="s">
        <v>68</v>
      </c>
      <c r="F300" s="3" t="s">
        <v>557</v>
      </c>
      <c r="G300" s="3" t="s">
        <v>33</v>
      </c>
      <c r="H300" s="8">
        <v>12568</v>
      </c>
      <c r="I300" s="8">
        <v>541</v>
      </c>
      <c r="J300" s="8">
        <v>273</v>
      </c>
      <c r="K300" s="8">
        <v>2767</v>
      </c>
      <c r="L300" s="7">
        <v>22331</v>
      </c>
      <c r="M300" s="3">
        <v>192747</v>
      </c>
      <c r="N300" s="3" t="s">
        <v>19</v>
      </c>
    </row>
    <row r="301" spans="1:14" ht="14.25" customHeight="1" x14ac:dyDescent="0.3">
      <c r="A301" s="3" t="s">
        <v>501</v>
      </c>
      <c r="B301" s="3" t="s">
        <v>542</v>
      </c>
      <c r="C301" s="6">
        <v>45926</v>
      </c>
      <c r="D301" s="3" t="s">
        <v>28</v>
      </c>
      <c r="E301" s="3" t="s">
        <v>46</v>
      </c>
      <c r="F301" s="3" t="s">
        <v>555</v>
      </c>
      <c r="G301" s="3" t="s">
        <v>549</v>
      </c>
      <c r="H301" s="8">
        <v>21216</v>
      </c>
      <c r="I301" s="8">
        <v>226</v>
      </c>
      <c r="J301" s="8">
        <v>187</v>
      </c>
      <c r="K301" s="8">
        <v>1573</v>
      </c>
      <c r="L301" s="7">
        <v>62688</v>
      </c>
      <c r="M301" s="3">
        <v>111031</v>
      </c>
      <c r="N301" s="3" t="s">
        <v>19</v>
      </c>
    </row>
    <row r="302" spans="1:14" ht="14.25" customHeight="1" x14ac:dyDescent="0.3">
      <c r="L302" s="7"/>
    </row>
    <row r="303" spans="1:14" ht="14.25" customHeight="1" x14ac:dyDescent="0.3">
      <c r="L303" s="7"/>
    </row>
    <row r="304" spans="1:14" ht="14.25" customHeight="1" x14ac:dyDescent="0.3">
      <c r="L304" s="7"/>
    </row>
    <row r="305" spans="12:12" ht="14.25" customHeight="1" x14ac:dyDescent="0.3">
      <c r="L305" s="7"/>
    </row>
    <row r="306" spans="12:12" ht="14.25" customHeight="1" x14ac:dyDescent="0.3">
      <c r="L306" s="7"/>
    </row>
    <row r="307" spans="12:12" ht="14.25" customHeight="1" x14ac:dyDescent="0.3">
      <c r="L307" s="7"/>
    </row>
    <row r="308" spans="12:12" ht="14.25" customHeight="1" x14ac:dyDescent="0.3">
      <c r="L308" s="7"/>
    </row>
    <row r="309" spans="12:12" ht="14.25" customHeight="1" x14ac:dyDescent="0.3">
      <c r="L309" s="7"/>
    </row>
    <row r="310" spans="12:12" ht="14.25" customHeight="1" x14ac:dyDescent="0.3">
      <c r="L310" s="7"/>
    </row>
    <row r="311" spans="12:12" ht="14.25" customHeight="1" x14ac:dyDescent="0.3">
      <c r="L311" s="7"/>
    </row>
    <row r="312" spans="12:12" ht="14.25" customHeight="1" x14ac:dyDescent="0.3">
      <c r="L312" s="7"/>
    </row>
    <row r="313" spans="12:12" ht="14.25" customHeight="1" x14ac:dyDescent="0.3">
      <c r="L313" s="7"/>
    </row>
    <row r="314" spans="12:12" ht="14.25" customHeight="1" x14ac:dyDescent="0.3">
      <c r="L314" s="7"/>
    </row>
    <row r="315" spans="12:12" ht="14.25" customHeight="1" x14ac:dyDescent="0.3">
      <c r="L315" s="7"/>
    </row>
    <row r="316" spans="12:12" ht="14.25" customHeight="1" x14ac:dyDescent="0.3">
      <c r="L316" s="7"/>
    </row>
    <row r="317" spans="12:12" ht="14.25" customHeight="1" x14ac:dyDescent="0.3">
      <c r="L317" s="7"/>
    </row>
    <row r="318" spans="12:12" ht="14.25" customHeight="1" x14ac:dyDescent="0.3">
      <c r="L318" s="7"/>
    </row>
    <row r="319" spans="12:12" ht="14.25" customHeight="1" x14ac:dyDescent="0.3">
      <c r="L319" s="7"/>
    </row>
    <row r="320" spans="12:12" ht="14.25" customHeight="1" x14ac:dyDescent="0.3">
      <c r="L320" s="7"/>
    </row>
    <row r="321" spans="12:12" ht="14.25" customHeight="1" x14ac:dyDescent="0.3">
      <c r="L321" s="7"/>
    </row>
    <row r="322" spans="12:12" ht="14.25" customHeight="1" x14ac:dyDescent="0.3">
      <c r="L322" s="7"/>
    </row>
    <row r="323" spans="12:12" ht="14.25" customHeight="1" x14ac:dyDescent="0.3">
      <c r="L323" s="7"/>
    </row>
    <row r="324" spans="12:12" ht="14.25" customHeight="1" x14ac:dyDescent="0.3">
      <c r="L324" s="7"/>
    </row>
    <row r="325" spans="12:12" ht="14.25" customHeight="1" x14ac:dyDescent="0.3">
      <c r="L325" s="7"/>
    </row>
    <row r="326" spans="12:12" ht="14.25" customHeight="1" x14ac:dyDescent="0.3">
      <c r="L326" s="7"/>
    </row>
    <row r="327" spans="12:12" ht="14.25" customHeight="1" x14ac:dyDescent="0.3">
      <c r="L327" s="7"/>
    </row>
    <row r="328" spans="12:12" ht="14.25" customHeight="1" x14ac:dyDescent="0.3">
      <c r="L328" s="7"/>
    </row>
    <row r="329" spans="12:12" ht="14.25" customHeight="1" x14ac:dyDescent="0.3">
      <c r="L329" s="7"/>
    </row>
    <row r="330" spans="12:12" ht="14.25" customHeight="1" x14ac:dyDescent="0.3">
      <c r="L330" s="7"/>
    </row>
    <row r="331" spans="12:12" ht="14.25" customHeight="1" x14ac:dyDescent="0.3">
      <c r="L331" s="7"/>
    </row>
    <row r="332" spans="12:12" ht="14.25" customHeight="1" x14ac:dyDescent="0.3">
      <c r="L332" s="7"/>
    </row>
    <row r="333" spans="12:12" ht="14.25" customHeight="1" x14ac:dyDescent="0.3">
      <c r="L333" s="7"/>
    </row>
    <row r="334" spans="12:12" ht="14.25" customHeight="1" x14ac:dyDescent="0.3">
      <c r="L334" s="7"/>
    </row>
    <row r="335" spans="12:12" ht="14.25" customHeight="1" x14ac:dyDescent="0.3">
      <c r="L335" s="7"/>
    </row>
    <row r="336" spans="12:12" ht="14.25" customHeight="1" x14ac:dyDescent="0.3">
      <c r="L336" s="7"/>
    </row>
    <row r="337" spans="12:12" ht="14.25" customHeight="1" x14ac:dyDescent="0.3">
      <c r="L337" s="7"/>
    </row>
    <row r="338" spans="12:12" ht="14.25" customHeight="1" x14ac:dyDescent="0.3">
      <c r="L338" s="7"/>
    </row>
    <row r="339" spans="12:12" ht="14.25" customHeight="1" x14ac:dyDescent="0.3">
      <c r="L339" s="7"/>
    </row>
    <row r="340" spans="12:12" ht="14.25" customHeight="1" x14ac:dyDescent="0.3">
      <c r="L340" s="7"/>
    </row>
    <row r="341" spans="12:12" ht="14.25" customHeight="1" x14ac:dyDescent="0.3">
      <c r="L341" s="7"/>
    </row>
    <row r="342" spans="12:12" ht="14.25" customHeight="1" x14ac:dyDescent="0.3">
      <c r="L342" s="7"/>
    </row>
    <row r="343" spans="12:12" ht="14.25" customHeight="1" x14ac:dyDescent="0.3">
      <c r="L343" s="7"/>
    </row>
    <row r="344" spans="12:12" ht="14.25" customHeight="1" x14ac:dyDescent="0.3">
      <c r="L344" s="7"/>
    </row>
    <row r="345" spans="12:12" ht="14.25" customHeight="1" x14ac:dyDescent="0.3">
      <c r="L345" s="7"/>
    </row>
    <row r="346" spans="12:12" ht="14.25" customHeight="1" x14ac:dyDescent="0.3">
      <c r="L346" s="7"/>
    </row>
    <row r="347" spans="12:12" ht="14.25" customHeight="1" x14ac:dyDescent="0.3">
      <c r="L347" s="7"/>
    </row>
    <row r="348" spans="12:12" ht="14.25" customHeight="1" x14ac:dyDescent="0.3">
      <c r="L348" s="7"/>
    </row>
    <row r="349" spans="12:12" ht="14.25" customHeight="1" x14ac:dyDescent="0.3">
      <c r="L349" s="7"/>
    </row>
    <row r="350" spans="12:12" ht="14.25" customHeight="1" x14ac:dyDescent="0.3">
      <c r="L350" s="7"/>
    </row>
    <row r="351" spans="12:12" ht="14.25" customHeight="1" x14ac:dyDescent="0.3">
      <c r="L351" s="7"/>
    </row>
    <row r="352" spans="12:12" ht="14.25" customHeight="1" x14ac:dyDescent="0.3">
      <c r="L352" s="7"/>
    </row>
    <row r="353" spans="12:12" ht="14.25" customHeight="1" x14ac:dyDescent="0.3">
      <c r="L353" s="7"/>
    </row>
    <row r="354" spans="12:12" ht="14.25" customHeight="1" x14ac:dyDescent="0.3">
      <c r="L354" s="7"/>
    </row>
    <row r="355" spans="12:12" ht="14.25" customHeight="1" x14ac:dyDescent="0.3">
      <c r="L355" s="7"/>
    </row>
    <row r="356" spans="12:12" ht="14.25" customHeight="1" x14ac:dyDescent="0.3">
      <c r="L356" s="7"/>
    </row>
    <row r="357" spans="12:12" ht="14.25" customHeight="1" x14ac:dyDescent="0.3">
      <c r="L357" s="7"/>
    </row>
    <row r="358" spans="12:12" ht="14.25" customHeight="1" x14ac:dyDescent="0.3">
      <c r="L358" s="7"/>
    </row>
    <row r="359" spans="12:12" ht="14.25" customHeight="1" x14ac:dyDescent="0.3">
      <c r="L359" s="7"/>
    </row>
    <row r="360" spans="12:12" ht="14.25" customHeight="1" x14ac:dyDescent="0.3">
      <c r="L360" s="7"/>
    </row>
    <row r="361" spans="12:12" ht="14.25" customHeight="1" x14ac:dyDescent="0.3">
      <c r="L361" s="7"/>
    </row>
    <row r="362" spans="12:12" ht="14.25" customHeight="1" x14ac:dyDescent="0.3">
      <c r="L362" s="7"/>
    </row>
    <row r="363" spans="12:12" ht="14.25" customHeight="1" x14ac:dyDescent="0.3">
      <c r="L363" s="7"/>
    </row>
    <row r="364" spans="12:12" ht="14.25" customHeight="1" x14ac:dyDescent="0.3">
      <c r="L364" s="7"/>
    </row>
    <row r="365" spans="12:12" ht="14.25" customHeight="1" x14ac:dyDescent="0.3">
      <c r="L365" s="7"/>
    </row>
    <row r="366" spans="12:12" ht="14.25" customHeight="1" x14ac:dyDescent="0.3">
      <c r="L366" s="7"/>
    </row>
    <row r="367" spans="12:12" ht="14.25" customHeight="1" x14ac:dyDescent="0.3">
      <c r="L367" s="7"/>
    </row>
    <row r="368" spans="12:12" ht="14.25" customHeight="1" x14ac:dyDescent="0.3">
      <c r="L368" s="7"/>
    </row>
    <row r="369" spans="12:12" ht="14.25" customHeight="1" x14ac:dyDescent="0.3">
      <c r="L369" s="7"/>
    </row>
    <row r="370" spans="12:12" ht="14.25" customHeight="1" x14ac:dyDescent="0.3">
      <c r="L370" s="7"/>
    </row>
    <row r="371" spans="12:12" ht="14.25" customHeight="1" x14ac:dyDescent="0.3">
      <c r="L371" s="7"/>
    </row>
    <row r="372" spans="12:12" ht="14.25" customHeight="1" x14ac:dyDescent="0.3">
      <c r="L372" s="7"/>
    </row>
    <row r="373" spans="12:12" ht="14.25" customHeight="1" x14ac:dyDescent="0.3">
      <c r="L373" s="7"/>
    </row>
    <row r="374" spans="12:12" ht="14.25" customHeight="1" x14ac:dyDescent="0.3">
      <c r="L374" s="7"/>
    </row>
    <row r="375" spans="12:12" ht="14.25" customHeight="1" x14ac:dyDescent="0.3">
      <c r="L375" s="7"/>
    </row>
    <row r="376" spans="12:12" ht="14.25" customHeight="1" x14ac:dyDescent="0.3">
      <c r="L376" s="7"/>
    </row>
    <row r="377" spans="12:12" ht="14.25" customHeight="1" x14ac:dyDescent="0.3">
      <c r="L377" s="7"/>
    </row>
    <row r="378" spans="12:12" ht="14.25" customHeight="1" x14ac:dyDescent="0.3">
      <c r="L378" s="7"/>
    </row>
    <row r="379" spans="12:12" ht="14.25" customHeight="1" x14ac:dyDescent="0.3">
      <c r="L379" s="7"/>
    </row>
    <row r="380" spans="12:12" ht="14.25" customHeight="1" x14ac:dyDescent="0.3">
      <c r="L380" s="7"/>
    </row>
    <row r="381" spans="12:12" ht="14.25" customHeight="1" x14ac:dyDescent="0.3">
      <c r="L381" s="7"/>
    </row>
    <row r="382" spans="12:12" ht="14.25" customHeight="1" x14ac:dyDescent="0.3">
      <c r="L382" s="7"/>
    </row>
    <row r="383" spans="12:12" ht="14.25" customHeight="1" x14ac:dyDescent="0.3">
      <c r="L383" s="7"/>
    </row>
    <row r="384" spans="12:12" ht="14.25" customHeight="1" x14ac:dyDescent="0.3">
      <c r="L384" s="7"/>
    </row>
    <row r="385" spans="12:12" ht="14.25" customHeight="1" x14ac:dyDescent="0.3">
      <c r="L385" s="7"/>
    </row>
    <row r="386" spans="12:12" ht="14.25" customHeight="1" x14ac:dyDescent="0.3">
      <c r="L386" s="7"/>
    </row>
    <row r="387" spans="12:12" ht="14.25" customHeight="1" x14ac:dyDescent="0.3">
      <c r="L387" s="7"/>
    </row>
    <row r="388" spans="12:12" ht="14.25" customHeight="1" x14ac:dyDescent="0.3">
      <c r="L388" s="7"/>
    </row>
    <row r="389" spans="12:12" ht="14.25" customHeight="1" x14ac:dyDescent="0.3">
      <c r="L389" s="7"/>
    </row>
    <row r="390" spans="12:12" ht="14.25" customHeight="1" x14ac:dyDescent="0.3">
      <c r="L390" s="7"/>
    </row>
    <row r="391" spans="12:12" ht="14.25" customHeight="1" x14ac:dyDescent="0.3">
      <c r="L391" s="7"/>
    </row>
    <row r="392" spans="12:12" ht="14.25" customHeight="1" x14ac:dyDescent="0.3">
      <c r="L392" s="7"/>
    </row>
    <row r="393" spans="12:12" ht="14.25" customHeight="1" x14ac:dyDescent="0.3">
      <c r="L393" s="7"/>
    </row>
    <row r="394" spans="12:12" ht="14.25" customHeight="1" x14ac:dyDescent="0.3">
      <c r="L394" s="7"/>
    </row>
    <row r="395" spans="12:12" ht="14.25" customHeight="1" x14ac:dyDescent="0.3">
      <c r="L395" s="7"/>
    </row>
    <row r="396" spans="12:12" ht="14.25" customHeight="1" x14ac:dyDescent="0.3">
      <c r="L396" s="7"/>
    </row>
    <row r="397" spans="12:12" ht="14.25" customHeight="1" x14ac:dyDescent="0.3">
      <c r="L397" s="7"/>
    </row>
    <row r="398" spans="12:12" ht="14.25" customHeight="1" x14ac:dyDescent="0.3">
      <c r="L398" s="7"/>
    </row>
    <row r="399" spans="12:12" ht="14.25" customHeight="1" x14ac:dyDescent="0.3">
      <c r="L399" s="7"/>
    </row>
    <row r="400" spans="12:12" ht="14.25" customHeight="1" x14ac:dyDescent="0.3">
      <c r="L400" s="7"/>
    </row>
    <row r="401" spans="12:12" ht="14.25" customHeight="1" x14ac:dyDescent="0.3">
      <c r="L401" s="7"/>
    </row>
    <row r="402" spans="12:12" ht="14.25" customHeight="1" x14ac:dyDescent="0.3">
      <c r="L402" s="7"/>
    </row>
    <row r="403" spans="12:12" ht="14.25" customHeight="1" x14ac:dyDescent="0.3">
      <c r="L403" s="7"/>
    </row>
    <row r="404" spans="12:12" ht="14.25" customHeight="1" x14ac:dyDescent="0.3">
      <c r="L404" s="7"/>
    </row>
    <row r="405" spans="12:12" ht="14.25" customHeight="1" x14ac:dyDescent="0.3">
      <c r="L405" s="7"/>
    </row>
    <row r="406" spans="12:12" ht="14.25" customHeight="1" x14ac:dyDescent="0.3">
      <c r="L406" s="7"/>
    </row>
    <row r="407" spans="12:12" ht="14.25" customHeight="1" x14ac:dyDescent="0.3">
      <c r="L407" s="7"/>
    </row>
    <row r="408" spans="12:12" ht="14.25" customHeight="1" x14ac:dyDescent="0.3">
      <c r="L408" s="7"/>
    </row>
    <row r="409" spans="12:12" ht="14.25" customHeight="1" x14ac:dyDescent="0.3">
      <c r="L409" s="7"/>
    </row>
    <row r="410" spans="12:12" ht="14.25" customHeight="1" x14ac:dyDescent="0.3">
      <c r="L410" s="7"/>
    </row>
    <row r="411" spans="12:12" ht="14.25" customHeight="1" x14ac:dyDescent="0.3">
      <c r="L411" s="7"/>
    </row>
    <row r="412" spans="12:12" ht="14.25" customHeight="1" x14ac:dyDescent="0.3">
      <c r="L412" s="7"/>
    </row>
    <row r="413" spans="12:12" ht="14.25" customHeight="1" x14ac:dyDescent="0.3">
      <c r="L413" s="7"/>
    </row>
    <row r="414" spans="12:12" ht="14.25" customHeight="1" x14ac:dyDescent="0.3">
      <c r="L414" s="7"/>
    </row>
    <row r="415" spans="12:12" ht="14.25" customHeight="1" x14ac:dyDescent="0.3">
      <c r="L415" s="7"/>
    </row>
    <row r="416" spans="12:12" ht="14.25" customHeight="1" x14ac:dyDescent="0.3">
      <c r="L416" s="7"/>
    </row>
    <row r="417" spans="12:12" ht="14.25" customHeight="1" x14ac:dyDescent="0.3">
      <c r="L417" s="7"/>
    </row>
    <row r="418" spans="12:12" ht="14.25" customHeight="1" x14ac:dyDescent="0.3">
      <c r="L418" s="7"/>
    </row>
    <row r="419" spans="12:12" ht="14.25" customHeight="1" x14ac:dyDescent="0.3">
      <c r="L419" s="7"/>
    </row>
    <row r="420" spans="12:12" ht="14.25" customHeight="1" x14ac:dyDescent="0.3">
      <c r="L420" s="7"/>
    </row>
    <row r="421" spans="12:12" ht="14.25" customHeight="1" x14ac:dyDescent="0.3">
      <c r="L421" s="7"/>
    </row>
    <row r="422" spans="12:12" ht="14.25" customHeight="1" x14ac:dyDescent="0.3">
      <c r="L422" s="7"/>
    </row>
    <row r="423" spans="12:12" ht="14.25" customHeight="1" x14ac:dyDescent="0.3">
      <c r="L423" s="7"/>
    </row>
    <row r="424" spans="12:12" ht="14.25" customHeight="1" x14ac:dyDescent="0.3">
      <c r="L424" s="7"/>
    </row>
    <row r="425" spans="12:12" ht="14.25" customHeight="1" x14ac:dyDescent="0.3">
      <c r="L425" s="7"/>
    </row>
    <row r="426" spans="12:12" ht="14.25" customHeight="1" x14ac:dyDescent="0.3">
      <c r="L426" s="7"/>
    </row>
    <row r="427" spans="12:12" ht="14.25" customHeight="1" x14ac:dyDescent="0.3">
      <c r="L427" s="7"/>
    </row>
    <row r="428" spans="12:12" ht="14.25" customHeight="1" x14ac:dyDescent="0.3">
      <c r="L428" s="7"/>
    </row>
    <row r="429" spans="12:12" ht="14.25" customHeight="1" x14ac:dyDescent="0.3">
      <c r="L429" s="7"/>
    </row>
    <row r="430" spans="12:12" ht="14.25" customHeight="1" x14ac:dyDescent="0.3">
      <c r="L430" s="7"/>
    </row>
    <row r="431" spans="12:12" ht="14.25" customHeight="1" x14ac:dyDescent="0.3">
      <c r="L431" s="7"/>
    </row>
    <row r="432" spans="12:12" ht="14.25" customHeight="1" x14ac:dyDescent="0.3">
      <c r="L432" s="7"/>
    </row>
    <row r="433" spans="12:12" ht="14.25" customHeight="1" x14ac:dyDescent="0.3">
      <c r="L433" s="7"/>
    </row>
    <row r="434" spans="12:12" ht="14.25" customHeight="1" x14ac:dyDescent="0.3">
      <c r="L434" s="7"/>
    </row>
    <row r="435" spans="12:12" ht="14.25" customHeight="1" x14ac:dyDescent="0.3">
      <c r="L435" s="7"/>
    </row>
    <row r="436" spans="12:12" ht="14.25" customHeight="1" x14ac:dyDescent="0.3">
      <c r="L436" s="7"/>
    </row>
    <row r="437" spans="12:12" ht="14.25" customHeight="1" x14ac:dyDescent="0.3">
      <c r="L437" s="7"/>
    </row>
    <row r="438" spans="12:12" ht="14.25" customHeight="1" x14ac:dyDescent="0.3">
      <c r="L438" s="7"/>
    </row>
    <row r="439" spans="12:12" ht="14.25" customHeight="1" x14ac:dyDescent="0.3">
      <c r="L439" s="7"/>
    </row>
    <row r="440" spans="12:12" ht="14.25" customHeight="1" x14ac:dyDescent="0.3">
      <c r="L440" s="7"/>
    </row>
    <row r="441" spans="12:12" ht="14.25" customHeight="1" x14ac:dyDescent="0.3">
      <c r="L441" s="7"/>
    </row>
    <row r="442" spans="12:12" ht="14.25" customHeight="1" x14ac:dyDescent="0.3">
      <c r="L442" s="7"/>
    </row>
    <row r="443" spans="12:12" ht="14.25" customHeight="1" x14ac:dyDescent="0.3">
      <c r="L443" s="7"/>
    </row>
    <row r="444" spans="12:12" ht="14.25" customHeight="1" x14ac:dyDescent="0.3">
      <c r="L444" s="7"/>
    </row>
    <row r="445" spans="12:12" ht="14.25" customHeight="1" x14ac:dyDescent="0.3">
      <c r="L445" s="7"/>
    </row>
    <row r="446" spans="12:12" ht="14.25" customHeight="1" x14ac:dyDescent="0.3">
      <c r="L446" s="7"/>
    </row>
    <row r="447" spans="12:12" ht="14.25" customHeight="1" x14ac:dyDescent="0.3">
      <c r="L447" s="7"/>
    </row>
    <row r="448" spans="12:12" ht="14.25" customHeight="1" x14ac:dyDescent="0.3">
      <c r="L448" s="7"/>
    </row>
    <row r="449" spans="12:12" ht="14.25" customHeight="1" x14ac:dyDescent="0.3">
      <c r="L449" s="7"/>
    </row>
    <row r="450" spans="12:12" ht="14.25" customHeight="1" x14ac:dyDescent="0.3">
      <c r="L450" s="7"/>
    </row>
    <row r="451" spans="12:12" ht="14.25" customHeight="1" x14ac:dyDescent="0.3">
      <c r="L451" s="7"/>
    </row>
    <row r="452" spans="12:12" ht="14.25" customHeight="1" x14ac:dyDescent="0.3">
      <c r="L452" s="7"/>
    </row>
    <row r="453" spans="12:12" ht="14.25" customHeight="1" x14ac:dyDescent="0.3">
      <c r="L453" s="7"/>
    </row>
    <row r="454" spans="12:12" ht="14.25" customHeight="1" x14ac:dyDescent="0.3">
      <c r="L454" s="7"/>
    </row>
    <row r="455" spans="12:12" ht="14.25" customHeight="1" x14ac:dyDescent="0.3">
      <c r="L455" s="7"/>
    </row>
    <row r="456" spans="12:12" ht="14.25" customHeight="1" x14ac:dyDescent="0.3">
      <c r="L456" s="7"/>
    </row>
    <row r="457" spans="12:12" ht="14.25" customHeight="1" x14ac:dyDescent="0.3">
      <c r="L457" s="7"/>
    </row>
    <row r="458" spans="12:12" ht="14.25" customHeight="1" x14ac:dyDescent="0.3">
      <c r="L458" s="7"/>
    </row>
    <row r="459" spans="12:12" ht="14.25" customHeight="1" x14ac:dyDescent="0.3">
      <c r="L459" s="7"/>
    </row>
    <row r="460" spans="12:12" ht="14.25" customHeight="1" x14ac:dyDescent="0.3">
      <c r="L460" s="7"/>
    </row>
    <row r="461" spans="12:12" ht="14.25" customHeight="1" x14ac:dyDescent="0.3">
      <c r="L461" s="7"/>
    </row>
    <row r="462" spans="12:12" ht="14.25" customHeight="1" x14ac:dyDescent="0.3">
      <c r="L462" s="7"/>
    </row>
    <row r="463" spans="12:12" ht="14.25" customHeight="1" x14ac:dyDescent="0.3">
      <c r="L463" s="7"/>
    </row>
    <row r="464" spans="12:12" ht="14.25" customHeight="1" x14ac:dyDescent="0.3">
      <c r="L464" s="7"/>
    </row>
    <row r="465" spans="12:12" ht="14.25" customHeight="1" x14ac:dyDescent="0.3">
      <c r="L465" s="7"/>
    </row>
    <row r="466" spans="12:12" ht="14.25" customHeight="1" x14ac:dyDescent="0.3">
      <c r="L466" s="7"/>
    </row>
    <row r="467" spans="12:12" ht="14.25" customHeight="1" x14ac:dyDescent="0.3">
      <c r="L467" s="7"/>
    </row>
    <row r="468" spans="12:12" ht="14.25" customHeight="1" x14ac:dyDescent="0.3">
      <c r="L468" s="7"/>
    </row>
    <row r="469" spans="12:12" ht="14.25" customHeight="1" x14ac:dyDescent="0.3">
      <c r="L469" s="7"/>
    </row>
    <row r="470" spans="12:12" ht="14.25" customHeight="1" x14ac:dyDescent="0.3">
      <c r="L470" s="7"/>
    </row>
    <row r="471" spans="12:12" ht="14.25" customHeight="1" x14ac:dyDescent="0.3">
      <c r="L471" s="7"/>
    </row>
    <row r="472" spans="12:12" ht="14.25" customHeight="1" x14ac:dyDescent="0.3">
      <c r="L472" s="7"/>
    </row>
    <row r="473" spans="12:12" ht="14.25" customHeight="1" x14ac:dyDescent="0.3">
      <c r="L473" s="7"/>
    </row>
    <row r="474" spans="12:12" ht="14.25" customHeight="1" x14ac:dyDescent="0.3">
      <c r="L474" s="7"/>
    </row>
    <row r="475" spans="12:12" ht="14.25" customHeight="1" x14ac:dyDescent="0.3">
      <c r="L475" s="7"/>
    </row>
    <row r="476" spans="12:12" ht="14.25" customHeight="1" x14ac:dyDescent="0.3">
      <c r="L476" s="7"/>
    </row>
    <row r="477" spans="12:12" ht="14.25" customHeight="1" x14ac:dyDescent="0.3">
      <c r="L477" s="7"/>
    </row>
    <row r="478" spans="12:12" ht="14.25" customHeight="1" x14ac:dyDescent="0.3">
      <c r="L478" s="7"/>
    </row>
    <row r="479" spans="12:12" ht="14.25" customHeight="1" x14ac:dyDescent="0.3">
      <c r="L479" s="7"/>
    </row>
    <row r="480" spans="12:12" ht="14.25" customHeight="1" x14ac:dyDescent="0.3">
      <c r="L480" s="7"/>
    </row>
    <row r="481" spans="12:12" ht="14.25" customHeight="1" x14ac:dyDescent="0.3">
      <c r="L481" s="7"/>
    </row>
    <row r="482" spans="12:12" ht="14.25" customHeight="1" x14ac:dyDescent="0.3">
      <c r="L482" s="7"/>
    </row>
    <row r="483" spans="12:12" ht="14.25" customHeight="1" x14ac:dyDescent="0.3">
      <c r="L483" s="7"/>
    </row>
    <row r="484" spans="12:12" ht="14.25" customHeight="1" x14ac:dyDescent="0.3">
      <c r="L484" s="7"/>
    </row>
    <row r="485" spans="12:12" ht="14.25" customHeight="1" x14ac:dyDescent="0.3">
      <c r="L485" s="7"/>
    </row>
    <row r="486" spans="12:12" ht="14.25" customHeight="1" x14ac:dyDescent="0.3">
      <c r="L486" s="7"/>
    </row>
    <row r="487" spans="12:12" ht="14.25" customHeight="1" x14ac:dyDescent="0.3">
      <c r="L487" s="7"/>
    </row>
    <row r="488" spans="12:12" ht="14.25" customHeight="1" x14ac:dyDescent="0.3">
      <c r="L488" s="7"/>
    </row>
    <row r="489" spans="12:12" ht="14.25" customHeight="1" x14ac:dyDescent="0.3">
      <c r="L489" s="7"/>
    </row>
    <row r="490" spans="12:12" ht="14.25" customHeight="1" x14ac:dyDescent="0.3">
      <c r="L490" s="7"/>
    </row>
    <row r="491" spans="12:12" ht="14.25" customHeight="1" x14ac:dyDescent="0.3">
      <c r="L491" s="7"/>
    </row>
    <row r="492" spans="12:12" ht="14.25" customHeight="1" x14ac:dyDescent="0.3">
      <c r="L492" s="7"/>
    </row>
    <row r="493" spans="12:12" ht="14.25" customHeight="1" x14ac:dyDescent="0.3">
      <c r="L493" s="7"/>
    </row>
    <row r="494" spans="12:12" ht="14.25" customHeight="1" x14ac:dyDescent="0.3">
      <c r="L494" s="7"/>
    </row>
    <row r="495" spans="12:12" ht="14.25" customHeight="1" x14ac:dyDescent="0.3">
      <c r="L495" s="7"/>
    </row>
    <row r="496" spans="12:12" ht="14.25" customHeight="1" x14ac:dyDescent="0.3">
      <c r="L496" s="7"/>
    </row>
    <row r="497" spans="12:12" ht="14.25" customHeight="1" x14ac:dyDescent="0.3">
      <c r="L497" s="7"/>
    </row>
    <row r="498" spans="12:12" ht="14.25" customHeight="1" x14ac:dyDescent="0.3">
      <c r="L498" s="7"/>
    </row>
    <row r="499" spans="12:12" ht="14.25" customHeight="1" x14ac:dyDescent="0.3">
      <c r="L499" s="7"/>
    </row>
    <row r="500" spans="12:12" ht="14.25" customHeight="1" x14ac:dyDescent="0.3">
      <c r="L500" s="7"/>
    </row>
    <row r="501" spans="12:12" ht="14.25" customHeight="1" x14ac:dyDescent="0.3">
      <c r="L501" s="7"/>
    </row>
    <row r="502" spans="12:12" ht="14.25" customHeight="1" x14ac:dyDescent="0.3"/>
    <row r="503" spans="12:12" ht="14.25" customHeight="1" x14ac:dyDescent="0.3"/>
    <row r="504" spans="12:12" ht="14.25" customHeight="1" x14ac:dyDescent="0.3"/>
    <row r="505" spans="12:12" ht="14.25" customHeight="1" x14ac:dyDescent="0.3"/>
    <row r="506" spans="12:12" ht="14.25" customHeight="1" x14ac:dyDescent="0.3"/>
    <row r="507" spans="12:12" ht="14.25" customHeight="1" x14ac:dyDescent="0.3"/>
    <row r="508" spans="12:12" ht="14.25" customHeight="1" x14ac:dyDescent="0.3"/>
    <row r="509" spans="12:12" ht="14.25" customHeight="1" x14ac:dyDescent="0.3"/>
    <row r="510" spans="12:12" ht="14.25" customHeight="1" x14ac:dyDescent="0.3"/>
    <row r="511" spans="12:12" ht="14.25" customHeight="1" x14ac:dyDescent="0.3"/>
    <row r="512" spans="12: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AB301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9CB80-AB36-47A4-BCC3-DC1C56FCECDA}">
  <dimension ref="A1:Z54"/>
  <sheetViews>
    <sheetView workbookViewId="0">
      <selection activeCell="S4" sqref="S4:Z8"/>
    </sheetView>
  </sheetViews>
  <sheetFormatPr defaultRowHeight="14.4" x14ac:dyDescent="0.3"/>
  <cols>
    <col min="1" max="1" width="20.33203125" bestFit="1" customWidth="1"/>
    <col min="2" max="2" width="15.5546875" bestFit="1" customWidth="1"/>
    <col min="3" max="3" width="8.109375" bestFit="1" customWidth="1"/>
    <col min="4" max="4" width="6.88671875" bestFit="1" customWidth="1"/>
    <col min="5" max="5" width="8.109375" bestFit="1" customWidth="1"/>
    <col min="6" max="6" width="10.77734375" bestFit="1" customWidth="1"/>
  </cols>
  <sheetData>
    <row r="1" spans="1:26" ht="21.6" customHeight="1" x14ac:dyDescent="0.4">
      <c r="A1" s="40" t="s">
        <v>565</v>
      </c>
      <c r="B1" s="40"/>
      <c r="C1" s="40"/>
      <c r="D1" s="40"/>
      <c r="E1" s="40"/>
      <c r="F1" s="40"/>
      <c r="G1" s="40"/>
    </row>
    <row r="3" spans="1:26" x14ac:dyDescent="0.3">
      <c r="A3" s="13" t="s">
        <v>564</v>
      </c>
      <c r="B3" s="13" t="s">
        <v>563</v>
      </c>
    </row>
    <row r="4" spans="1:26" ht="21" x14ac:dyDescent="0.4">
      <c r="A4" s="14" t="s">
        <v>562</v>
      </c>
      <c r="B4" s="15" t="s">
        <v>21</v>
      </c>
      <c r="C4" s="15" t="s">
        <v>542</v>
      </c>
      <c r="D4" s="15" t="s">
        <v>44</v>
      </c>
      <c r="E4" s="15" t="s">
        <v>541</v>
      </c>
      <c r="S4" s="41" t="s">
        <v>566</v>
      </c>
      <c r="T4" s="41"/>
      <c r="U4" s="19"/>
      <c r="V4" s="19"/>
      <c r="W4" s="19"/>
      <c r="X4" s="19"/>
      <c r="Y4" s="19"/>
      <c r="Z4" s="19"/>
    </row>
    <row r="5" spans="1:26" ht="15.6" x14ac:dyDescent="0.3">
      <c r="A5" s="16" t="s">
        <v>186</v>
      </c>
      <c r="B5" s="17">
        <v>4138</v>
      </c>
      <c r="C5" s="17"/>
      <c r="D5" s="17">
        <v>8693</v>
      </c>
      <c r="E5" s="17">
        <v>18106</v>
      </c>
      <c r="S5" s="39" t="s">
        <v>567</v>
      </c>
      <c r="T5" s="39"/>
      <c r="U5" s="39"/>
      <c r="V5" s="39"/>
      <c r="W5" s="39"/>
      <c r="X5" s="39"/>
      <c r="Y5" s="39"/>
      <c r="Z5" s="39"/>
    </row>
    <row r="6" spans="1:26" ht="15.6" x14ac:dyDescent="0.3">
      <c r="A6" s="16" t="s">
        <v>199</v>
      </c>
      <c r="B6" s="17">
        <v>7721</v>
      </c>
      <c r="C6" s="17"/>
      <c r="D6" s="17">
        <v>9203</v>
      </c>
      <c r="E6" s="17">
        <v>8002</v>
      </c>
      <c r="S6" s="39" t="s">
        <v>568</v>
      </c>
      <c r="T6" s="39"/>
      <c r="U6" s="39"/>
      <c r="V6" s="39"/>
      <c r="W6" s="39"/>
      <c r="X6" s="39"/>
      <c r="Y6" s="39"/>
      <c r="Z6" s="39"/>
    </row>
    <row r="7" spans="1:26" ht="15.6" x14ac:dyDescent="0.3">
      <c r="A7" s="16" t="s">
        <v>124</v>
      </c>
      <c r="B7" s="17">
        <v>15029</v>
      </c>
      <c r="C7" s="17">
        <v>7097</v>
      </c>
      <c r="D7" s="17">
        <v>6907</v>
      </c>
      <c r="E7" s="17"/>
      <c r="S7" s="39" t="s">
        <v>569</v>
      </c>
      <c r="T7" s="39"/>
      <c r="U7" s="39"/>
      <c r="V7" s="39"/>
      <c r="W7" s="39"/>
      <c r="X7" s="39"/>
      <c r="Y7" s="39"/>
      <c r="Z7" s="39"/>
    </row>
    <row r="8" spans="1:26" ht="15.6" x14ac:dyDescent="0.3">
      <c r="A8" s="16" t="s">
        <v>35</v>
      </c>
      <c r="B8" s="17">
        <v>5259</v>
      </c>
      <c r="C8" s="17"/>
      <c r="D8" s="17">
        <v>16885</v>
      </c>
      <c r="E8" s="17">
        <v>9286</v>
      </c>
      <c r="S8" s="39" t="s">
        <v>570</v>
      </c>
      <c r="T8" s="39"/>
      <c r="U8" s="39"/>
      <c r="V8" s="39"/>
      <c r="W8" s="39"/>
      <c r="X8" s="39"/>
      <c r="Y8" s="39"/>
      <c r="Z8" s="39"/>
    </row>
    <row r="9" spans="1:26" x14ac:dyDescent="0.3">
      <c r="A9" s="16" t="s">
        <v>393</v>
      </c>
      <c r="B9" s="17">
        <v>6490</v>
      </c>
      <c r="C9" s="17">
        <v>5917</v>
      </c>
      <c r="D9" s="17">
        <v>9429</v>
      </c>
      <c r="E9" s="17"/>
    </row>
    <row r="10" spans="1:26" x14ac:dyDescent="0.3">
      <c r="A10" s="16" t="s">
        <v>508</v>
      </c>
      <c r="B10" s="17"/>
      <c r="C10" s="17">
        <v>12349</v>
      </c>
      <c r="D10" s="17">
        <v>8045</v>
      </c>
      <c r="E10" s="17"/>
    </row>
    <row r="11" spans="1:26" x14ac:dyDescent="0.3">
      <c r="A11" s="16" t="s">
        <v>264</v>
      </c>
      <c r="B11" s="17">
        <v>5500</v>
      </c>
      <c r="C11" s="17"/>
      <c r="D11" s="17">
        <v>8137</v>
      </c>
      <c r="E11" s="17">
        <v>1963</v>
      </c>
    </row>
    <row r="12" spans="1:26" x14ac:dyDescent="0.3">
      <c r="A12" s="16" t="s">
        <v>509</v>
      </c>
      <c r="B12" s="17"/>
      <c r="C12" s="17">
        <v>17307</v>
      </c>
      <c r="D12" s="17">
        <v>8179</v>
      </c>
      <c r="E12" s="17">
        <v>9734</v>
      </c>
    </row>
    <row r="13" spans="1:26" x14ac:dyDescent="0.3">
      <c r="A13" s="16" t="s">
        <v>219</v>
      </c>
      <c r="B13" s="17"/>
      <c r="C13" s="17">
        <v>8622</v>
      </c>
      <c r="D13" s="17">
        <v>6947</v>
      </c>
      <c r="E13" s="17">
        <v>4036</v>
      </c>
    </row>
    <row r="14" spans="1:26" x14ac:dyDescent="0.3">
      <c r="A14" s="16" t="s">
        <v>435</v>
      </c>
      <c r="B14" s="17">
        <v>3494</v>
      </c>
      <c r="C14" s="17">
        <v>5349</v>
      </c>
      <c r="D14" s="17">
        <v>3719</v>
      </c>
      <c r="E14" s="17">
        <v>2884</v>
      </c>
    </row>
    <row r="15" spans="1:26" x14ac:dyDescent="0.3">
      <c r="A15" s="16" t="s">
        <v>27</v>
      </c>
      <c r="B15" s="17">
        <v>7610</v>
      </c>
      <c r="C15" s="17"/>
      <c r="D15" s="17">
        <v>14333</v>
      </c>
      <c r="E15" s="17">
        <v>7430</v>
      </c>
    </row>
    <row r="16" spans="1:26" x14ac:dyDescent="0.3">
      <c r="A16" s="16" t="s">
        <v>62</v>
      </c>
      <c r="B16" s="17">
        <v>15013</v>
      </c>
      <c r="C16" s="17"/>
      <c r="D16" s="17"/>
      <c r="E16" s="17">
        <v>10587</v>
      </c>
    </row>
    <row r="17" spans="1:5" x14ac:dyDescent="0.3">
      <c r="A17" s="16" t="s">
        <v>57</v>
      </c>
      <c r="B17" s="17">
        <v>9648</v>
      </c>
      <c r="C17" s="17">
        <v>1689</v>
      </c>
      <c r="D17" s="17">
        <v>6175</v>
      </c>
      <c r="E17" s="17">
        <v>6078</v>
      </c>
    </row>
    <row r="18" spans="1:5" x14ac:dyDescent="0.3">
      <c r="A18" s="16" t="s">
        <v>154</v>
      </c>
      <c r="B18" s="17">
        <v>8627</v>
      </c>
      <c r="C18" s="17">
        <v>9591</v>
      </c>
      <c r="D18" s="17">
        <v>7406</v>
      </c>
      <c r="E18" s="17"/>
    </row>
    <row r="19" spans="1:5" x14ac:dyDescent="0.3">
      <c r="A19" s="16" t="s">
        <v>66</v>
      </c>
      <c r="B19" s="17">
        <v>7907</v>
      </c>
      <c r="C19" s="17">
        <v>6671</v>
      </c>
      <c r="D19" s="17"/>
      <c r="E19" s="17">
        <v>12438</v>
      </c>
    </row>
    <row r="20" spans="1:5" x14ac:dyDescent="0.3">
      <c r="A20" s="16" t="s">
        <v>510</v>
      </c>
      <c r="B20" s="17"/>
      <c r="C20" s="17">
        <v>2382</v>
      </c>
      <c r="D20" s="17">
        <v>4292</v>
      </c>
      <c r="E20" s="17">
        <v>10331</v>
      </c>
    </row>
    <row r="21" spans="1:5" x14ac:dyDescent="0.3">
      <c r="A21" s="16" t="s">
        <v>511</v>
      </c>
      <c r="B21" s="17">
        <v>14578</v>
      </c>
      <c r="C21" s="17"/>
      <c r="D21" s="17">
        <v>5517</v>
      </c>
      <c r="E21" s="17"/>
    </row>
    <row r="22" spans="1:5" x14ac:dyDescent="0.3">
      <c r="A22" s="16" t="s">
        <v>512</v>
      </c>
      <c r="B22" s="17">
        <v>10637</v>
      </c>
      <c r="C22" s="17"/>
      <c r="D22" s="17">
        <v>9737</v>
      </c>
      <c r="E22" s="17"/>
    </row>
    <row r="23" spans="1:5" x14ac:dyDescent="0.3">
      <c r="A23" s="16" t="s">
        <v>513</v>
      </c>
      <c r="B23" s="17">
        <v>5481</v>
      </c>
      <c r="C23" s="17">
        <v>2549</v>
      </c>
      <c r="D23" s="17"/>
      <c r="E23" s="17">
        <v>11856</v>
      </c>
    </row>
    <row r="24" spans="1:5" x14ac:dyDescent="0.3">
      <c r="A24" s="16" t="s">
        <v>514</v>
      </c>
      <c r="B24" s="17"/>
      <c r="C24" s="17"/>
      <c r="D24" s="17">
        <v>18028</v>
      </c>
      <c r="E24" s="17">
        <v>7548</v>
      </c>
    </row>
    <row r="25" spans="1:5" x14ac:dyDescent="0.3">
      <c r="A25" s="16" t="s">
        <v>128</v>
      </c>
      <c r="B25" s="17">
        <v>26389</v>
      </c>
      <c r="C25" s="17"/>
      <c r="D25" s="17"/>
      <c r="E25" s="17">
        <v>7793</v>
      </c>
    </row>
    <row r="26" spans="1:5" x14ac:dyDescent="0.3">
      <c r="A26" s="16" t="s">
        <v>159</v>
      </c>
      <c r="B26" s="17"/>
      <c r="C26" s="17">
        <v>16789</v>
      </c>
      <c r="D26" s="17"/>
      <c r="E26" s="17">
        <v>13549</v>
      </c>
    </row>
    <row r="27" spans="1:5" x14ac:dyDescent="0.3">
      <c r="A27" s="16" t="s">
        <v>231</v>
      </c>
      <c r="B27" s="17"/>
      <c r="C27" s="17">
        <v>5268</v>
      </c>
      <c r="D27" s="17">
        <v>10051</v>
      </c>
      <c r="E27" s="17">
        <v>3385</v>
      </c>
    </row>
    <row r="28" spans="1:5" x14ac:dyDescent="0.3">
      <c r="A28" s="16" t="s">
        <v>515</v>
      </c>
      <c r="B28" s="17"/>
      <c r="C28" s="17">
        <v>5592</v>
      </c>
      <c r="D28" s="17">
        <v>10819</v>
      </c>
      <c r="E28" s="17">
        <v>5795</v>
      </c>
    </row>
    <row r="29" spans="1:5" x14ac:dyDescent="0.3">
      <c r="A29" s="16" t="s">
        <v>52</v>
      </c>
      <c r="B29" s="17">
        <v>5798</v>
      </c>
      <c r="C29" s="17">
        <v>10242</v>
      </c>
      <c r="D29" s="17">
        <v>7036</v>
      </c>
      <c r="E29" s="17"/>
    </row>
    <row r="30" spans="1:5" x14ac:dyDescent="0.3">
      <c r="A30" s="16" t="s">
        <v>450</v>
      </c>
      <c r="B30" s="17">
        <v>15788</v>
      </c>
      <c r="C30" s="17">
        <v>9737</v>
      </c>
      <c r="D30" s="17"/>
      <c r="E30" s="17">
        <v>5719</v>
      </c>
    </row>
    <row r="31" spans="1:5" x14ac:dyDescent="0.3">
      <c r="A31" s="16" t="s">
        <v>516</v>
      </c>
      <c r="B31" s="17">
        <v>9987</v>
      </c>
      <c r="C31" s="17">
        <v>5839</v>
      </c>
      <c r="D31" s="17"/>
      <c r="E31" s="17">
        <v>4493</v>
      </c>
    </row>
    <row r="32" spans="1:5" x14ac:dyDescent="0.3">
      <c r="A32" s="16" t="s">
        <v>176</v>
      </c>
      <c r="B32" s="17">
        <v>3672</v>
      </c>
      <c r="C32" s="17">
        <v>1016</v>
      </c>
      <c r="D32" s="17">
        <v>7164</v>
      </c>
      <c r="E32" s="17">
        <v>5200</v>
      </c>
    </row>
    <row r="33" spans="1:14" x14ac:dyDescent="0.3">
      <c r="A33" s="16" t="s">
        <v>87</v>
      </c>
      <c r="B33" s="17">
        <v>5583</v>
      </c>
      <c r="C33" s="17">
        <v>9616</v>
      </c>
      <c r="D33" s="17">
        <v>7272</v>
      </c>
      <c r="E33" s="17"/>
    </row>
    <row r="34" spans="1:14" x14ac:dyDescent="0.3">
      <c r="A34" s="16" t="s">
        <v>13</v>
      </c>
      <c r="B34" s="17">
        <v>4631</v>
      </c>
      <c r="C34" s="17">
        <v>8743</v>
      </c>
      <c r="D34" s="17"/>
      <c r="E34" s="17">
        <v>8177</v>
      </c>
    </row>
    <row r="35" spans="1:14" x14ac:dyDescent="0.3">
      <c r="A35" s="16" t="s">
        <v>517</v>
      </c>
      <c r="B35" s="17">
        <v>4897</v>
      </c>
      <c r="C35" s="17">
        <v>18556</v>
      </c>
      <c r="D35" s="17">
        <v>3279</v>
      </c>
      <c r="E35" s="17"/>
    </row>
    <row r="36" spans="1:14" ht="15.6" x14ac:dyDescent="0.3">
      <c r="A36" s="16" t="s">
        <v>97</v>
      </c>
      <c r="B36" s="17"/>
      <c r="C36" s="17">
        <v>9980</v>
      </c>
      <c r="D36" s="17">
        <v>10226</v>
      </c>
      <c r="E36" s="17">
        <v>9906</v>
      </c>
      <c r="G36" s="18"/>
      <c r="H36" s="18"/>
      <c r="I36" s="18"/>
      <c r="J36" s="18"/>
      <c r="K36" s="18"/>
      <c r="L36" s="18"/>
      <c r="M36" s="18"/>
      <c r="N36" s="18"/>
    </row>
    <row r="37" spans="1:14" x14ac:dyDescent="0.3">
      <c r="A37" s="16" t="s">
        <v>518</v>
      </c>
      <c r="B37" s="17">
        <v>3247</v>
      </c>
      <c r="C37" s="17">
        <v>7869</v>
      </c>
      <c r="D37" s="17">
        <v>8088</v>
      </c>
      <c r="E37" s="17">
        <v>1078</v>
      </c>
    </row>
    <row r="38" spans="1:14" x14ac:dyDescent="0.3">
      <c r="A38" s="16" t="s">
        <v>519</v>
      </c>
      <c r="B38" s="17"/>
      <c r="C38" s="17"/>
      <c r="D38" s="17">
        <v>22105</v>
      </c>
      <c r="E38" s="17">
        <v>8340</v>
      </c>
    </row>
    <row r="39" spans="1:14" x14ac:dyDescent="0.3">
      <c r="A39" s="16" t="s">
        <v>179</v>
      </c>
      <c r="B39" s="17">
        <v>4271</v>
      </c>
      <c r="C39" s="17">
        <v>8083</v>
      </c>
      <c r="D39" s="17">
        <v>13170</v>
      </c>
      <c r="E39" s="17"/>
    </row>
    <row r="40" spans="1:14" x14ac:dyDescent="0.3">
      <c r="A40" s="16" t="s">
        <v>520</v>
      </c>
      <c r="B40" s="17"/>
      <c r="C40" s="17"/>
      <c r="D40" s="17">
        <v>17438</v>
      </c>
      <c r="E40" s="17">
        <v>14055</v>
      </c>
    </row>
    <row r="41" spans="1:14" x14ac:dyDescent="0.3">
      <c r="A41" s="16" t="s">
        <v>437</v>
      </c>
      <c r="B41" s="17"/>
      <c r="C41" s="17">
        <v>13799</v>
      </c>
      <c r="D41" s="17">
        <v>1147</v>
      </c>
      <c r="E41" s="17"/>
    </row>
    <row r="42" spans="1:14" x14ac:dyDescent="0.3">
      <c r="A42" s="16" t="s">
        <v>99</v>
      </c>
      <c r="B42" s="17">
        <v>12840</v>
      </c>
      <c r="C42" s="17">
        <v>5531</v>
      </c>
      <c r="D42" s="17">
        <v>1365</v>
      </c>
      <c r="E42" s="17"/>
    </row>
    <row r="43" spans="1:14" x14ac:dyDescent="0.3">
      <c r="A43" s="16" t="s">
        <v>112</v>
      </c>
      <c r="B43" s="17">
        <v>16193</v>
      </c>
      <c r="C43" s="17"/>
      <c r="D43" s="17"/>
      <c r="E43" s="17">
        <v>17457</v>
      </c>
    </row>
    <row r="44" spans="1:14" x14ac:dyDescent="0.3">
      <c r="A44" s="16" t="s">
        <v>156</v>
      </c>
      <c r="B44" s="17"/>
      <c r="C44" s="17">
        <v>8504</v>
      </c>
      <c r="D44" s="17">
        <v>7085</v>
      </c>
      <c r="E44" s="17">
        <v>7511</v>
      </c>
    </row>
    <row r="45" spans="1:14" x14ac:dyDescent="0.3">
      <c r="A45" s="16" t="s">
        <v>521</v>
      </c>
      <c r="B45" s="17">
        <v>3376</v>
      </c>
      <c r="C45" s="17">
        <v>2827</v>
      </c>
      <c r="D45" s="17">
        <v>9551</v>
      </c>
      <c r="E45" s="17">
        <v>4009</v>
      </c>
    </row>
    <row r="46" spans="1:14" x14ac:dyDescent="0.3">
      <c r="A46" s="16" t="s">
        <v>522</v>
      </c>
      <c r="B46" s="17">
        <v>9569</v>
      </c>
      <c r="C46" s="17">
        <v>21174</v>
      </c>
      <c r="D46" s="17"/>
      <c r="E46" s="17"/>
    </row>
    <row r="47" spans="1:14" x14ac:dyDescent="0.3">
      <c r="A47" s="16" t="s">
        <v>338</v>
      </c>
      <c r="B47" s="17"/>
      <c r="C47" s="17">
        <v>22600</v>
      </c>
      <c r="D47" s="17"/>
      <c r="E47" s="17">
        <v>4747</v>
      </c>
    </row>
    <row r="48" spans="1:14" x14ac:dyDescent="0.3">
      <c r="A48" s="16" t="s">
        <v>523</v>
      </c>
      <c r="B48" s="17">
        <v>6607</v>
      </c>
      <c r="C48" s="17">
        <v>1780</v>
      </c>
      <c r="D48" s="17">
        <v>6978</v>
      </c>
      <c r="E48" s="17">
        <v>1769</v>
      </c>
    </row>
    <row r="49" spans="1:5" x14ac:dyDescent="0.3">
      <c r="A49" s="16" t="s">
        <v>353</v>
      </c>
      <c r="B49" s="17">
        <v>1521</v>
      </c>
      <c r="C49" s="17">
        <v>4983</v>
      </c>
      <c r="D49" s="17">
        <v>9714</v>
      </c>
      <c r="E49" s="17">
        <v>7303</v>
      </c>
    </row>
    <row r="50" spans="1:5" x14ac:dyDescent="0.3">
      <c r="A50" s="16" t="s">
        <v>524</v>
      </c>
      <c r="B50" s="17"/>
      <c r="C50" s="17">
        <v>27882</v>
      </c>
      <c r="D50" s="17"/>
      <c r="E50" s="17"/>
    </row>
    <row r="51" spans="1:5" x14ac:dyDescent="0.3">
      <c r="A51" s="16" t="s">
        <v>525</v>
      </c>
      <c r="B51" s="17">
        <v>16669</v>
      </c>
      <c r="C51" s="17"/>
      <c r="D51" s="17">
        <v>8128</v>
      </c>
      <c r="E51" s="17"/>
    </row>
    <row r="52" spans="1:5" x14ac:dyDescent="0.3">
      <c r="A52" s="16" t="s">
        <v>311</v>
      </c>
      <c r="B52" s="17"/>
      <c r="C52" s="17">
        <v>1685</v>
      </c>
      <c r="D52" s="17">
        <v>17532</v>
      </c>
      <c r="E52" s="17"/>
    </row>
    <row r="53" spans="1:5" x14ac:dyDescent="0.3">
      <c r="A53" s="16" t="s">
        <v>59</v>
      </c>
      <c r="B53" s="17">
        <v>8697</v>
      </c>
      <c r="C53" s="17">
        <v>3294</v>
      </c>
      <c r="D53" s="17"/>
      <c r="E53" s="17">
        <v>5875</v>
      </c>
    </row>
    <row r="54" spans="1:5" x14ac:dyDescent="0.3">
      <c r="A54" s="16" t="s">
        <v>22</v>
      </c>
      <c r="B54" s="17">
        <v>3196</v>
      </c>
      <c r="C54" s="17">
        <v>9466</v>
      </c>
      <c r="D54" s="17">
        <v>8527</v>
      </c>
      <c r="E54" s="17"/>
    </row>
  </sheetData>
  <mergeCells count="6">
    <mergeCell ref="S8:Z8"/>
    <mergeCell ref="A1:G1"/>
    <mergeCell ref="S4:T4"/>
    <mergeCell ref="S5:Z5"/>
    <mergeCell ref="S6:Z6"/>
    <mergeCell ref="S7:Z7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6EC23-80E6-4A5E-9717-AF02318C1F23}">
  <dimension ref="A1:V53"/>
  <sheetViews>
    <sheetView workbookViewId="0">
      <selection activeCell="K20" sqref="K20"/>
    </sheetView>
  </sheetViews>
  <sheetFormatPr defaultRowHeight="14.4" x14ac:dyDescent="0.3"/>
  <cols>
    <col min="1" max="1" width="12.5546875" bestFit="1" customWidth="1"/>
    <col min="2" max="2" width="20.33203125" bestFit="1" customWidth="1"/>
    <col min="3" max="3" width="8.109375" bestFit="1" customWidth="1"/>
    <col min="4" max="4" width="6.88671875" bestFit="1" customWidth="1"/>
    <col min="5" max="5" width="8.109375" bestFit="1" customWidth="1"/>
  </cols>
  <sheetData>
    <row r="1" spans="1:22" ht="23.4" x14ac:dyDescent="0.45">
      <c r="A1" s="42" t="s">
        <v>574</v>
      </c>
      <c r="B1" s="42"/>
      <c r="C1" s="42"/>
      <c r="D1" s="42"/>
      <c r="E1" s="42"/>
      <c r="F1" s="42"/>
    </row>
    <row r="3" spans="1:22" x14ac:dyDescent="0.3">
      <c r="A3" s="20" t="s">
        <v>562</v>
      </c>
      <c r="B3" t="s">
        <v>564</v>
      </c>
    </row>
    <row r="4" spans="1:22" ht="21" x14ac:dyDescent="0.4">
      <c r="A4" s="23" t="s">
        <v>509</v>
      </c>
      <c r="B4" s="24">
        <v>35220</v>
      </c>
      <c r="C4" s="45" t="s">
        <v>571</v>
      </c>
      <c r="D4" s="46"/>
      <c r="H4" s="44" t="s">
        <v>572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</row>
    <row r="5" spans="1:22" ht="21" x14ac:dyDescent="0.4">
      <c r="A5" s="21" t="s">
        <v>128</v>
      </c>
      <c r="B5" s="22">
        <v>34182</v>
      </c>
      <c r="H5" s="44" t="s">
        <v>573</v>
      </c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</row>
    <row r="6" spans="1:22" x14ac:dyDescent="0.3">
      <c r="A6" s="21" t="s">
        <v>112</v>
      </c>
      <c r="B6" s="22">
        <v>33650</v>
      </c>
    </row>
    <row r="7" spans="1:22" x14ac:dyDescent="0.3">
      <c r="A7" s="21" t="s">
        <v>520</v>
      </c>
      <c r="B7" s="22">
        <v>31493</v>
      </c>
    </row>
    <row r="8" spans="1:22" x14ac:dyDescent="0.3">
      <c r="A8" s="21" t="s">
        <v>35</v>
      </c>
      <c r="B8" s="22">
        <v>31430</v>
      </c>
    </row>
    <row r="9" spans="1:22" x14ac:dyDescent="0.3">
      <c r="A9" s="21" t="s">
        <v>450</v>
      </c>
      <c r="B9" s="22">
        <v>31244</v>
      </c>
    </row>
    <row r="10" spans="1:22" x14ac:dyDescent="0.3">
      <c r="A10" s="21" t="s">
        <v>186</v>
      </c>
      <c r="B10" s="22">
        <v>30937</v>
      </c>
      <c r="F10" s="43"/>
      <c r="G10" s="43"/>
      <c r="H10" s="43"/>
      <c r="I10" s="43"/>
      <c r="J10" s="43"/>
      <c r="K10" s="43"/>
      <c r="L10" s="43"/>
      <c r="M10" s="43"/>
    </row>
    <row r="11" spans="1:22" x14ac:dyDescent="0.3">
      <c r="A11" s="21" t="s">
        <v>522</v>
      </c>
      <c r="B11" s="22">
        <v>30743</v>
      </c>
    </row>
    <row r="12" spans="1:22" x14ac:dyDescent="0.3">
      <c r="A12" s="21" t="s">
        <v>519</v>
      </c>
      <c r="B12" s="22">
        <v>30445</v>
      </c>
    </row>
    <row r="13" spans="1:22" x14ac:dyDescent="0.3">
      <c r="A13" s="21" t="s">
        <v>159</v>
      </c>
      <c r="B13" s="22">
        <v>30338</v>
      </c>
    </row>
    <row r="14" spans="1:22" x14ac:dyDescent="0.3">
      <c r="A14" s="21" t="s">
        <v>97</v>
      </c>
      <c r="B14" s="22">
        <v>30112</v>
      </c>
    </row>
    <row r="15" spans="1:22" x14ac:dyDescent="0.3">
      <c r="A15" s="21" t="s">
        <v>27</v>
      </c>
      <c r="B15" s="22">
        <v>29373</v>
      </c>
    </row>
    <row r="16" spans="1:22" x14ac:dyDescent="0.3">
      <c r="A16" s="21" t="s">
        <v>124</v>
      </c>
      <c r="B16" s="22">
        <v>29033</v>
      </c>
    </row>
    <row r="17" spans="1:2" x14ac:dyDescent="0.3">
      <c r="A17" s="21" t="s">
        <v>524</v>
      </c>
      <c r="B17" s="22">
        <v>27882</v>
      </c>
    </row>
    <row r="18" spans="1:2" x14ac:dyDescent="0.3">
      <c r="A18" s="21" t="s">
        <v>338</v>
      </c>
      <c r="B18" s="22">
        <v>27347</v>
      </c>
    </row>
    <row r="19" spans="1:2" x14ac:dyDescent="0.3">
      <c r="A19" s="21" t="s">
        <v>66</v>
      </c>
      <c r="B19" s="22">
        <v>27016</v>
      </c>
    </row>
    <row r="20" spans="1:2" x14ac:dyDescent="0.3">
      <c r="A20" s="21" t="s">
        <v>517</v>
      </c>
      <c r="B20" s="22">
        <v>26732</v>
      </c>
    </row>
    <row r="21" spans="1:2" x14ac:dyDescent="0.3">
      <c r="A21" s="21" t="s">
        <v>154</v>
      </c>
      <c r="B21" s="22">
        <v>25624</v>
      </c>
    </row>
    <row r="22" spans="1:2" x14ac:dyDescent="0.3">
      <c r="A22" s="21" t="s">
        <v>62</v>
      </c>
      <c r="B22" s="22">
        <v>25600</v>
      </c>
    </row>
    <row r="23" spans="1:2" x14ac:dyDescent="0.3">
      <c r="A23" s="21" t="s">
        <v>514</v>
      </c>
      <c r="B23" s="22">
        <v>25576</v>
      </c>
    </row>
    <row r="24" spans="1:2" x14ac:dyDescent="0.3">
      <c r="A24" s="21" t="s">
        <v>179</v>
      </c>
      <c r="B24" s="22">
        <v>25524</v>
      </c>
    </row>
    <row r="25" spans="1:2" x14ac:dyDescent="0.3">
      <c r="A25" s="21" t="s">
        <v>199</v>
      </c>
      <c r="B25" s="22">
        <v>24926</v>
      </c>
    </row>
    <row r="26" spans="1:2" x14ac:dyDescent="0.3">
      <c r="A26" s="21" t="s">
        <v>525</v>
      </c>
      <c r="B26" s="22">
        <v>24797</v>
      </c>
    </row>
    <row r="27" spans="1:2" x14ac:dyDescent="0.3">
      <c r="A27" s="21" t="s">
        <v>57</v>
      </c>
      <c r="B27" s="22">
        <v>23590</v>
      </c>
    </row>
    <row r="28" spans="1:2" x14ac:dyDescent="0.3">
      <c r="A28" s="21" t="s">
        <v>353</v>
      </c>
      <c r="B28" s="22">
        <v>23521</v>
      </c>
    </row>
    <row r="29" spans="1:2" x14ac:dyDescent="0.3">
      <c r="A29" s="21" t="s">
        <v>156</v>
      </c>
      <c r="B29" s="22">
        <v>23100</v>
      </c>
    </row>
    <row r="30" spans="1:2" x14ac:dyDescent="0.3">
      <c r="A30" s="21" t="s">
        <v>52</v>
      </c>
      <c r="B30" s="22">
        <v>23076</v>
      </c>
    </row>
    <row r="31" spans="1:2" x14ac:dyDescent="0.3">
      <c r="A31" s="21" t="s">
        <v>87</v>
      </c>
      <c r="B31" s="22">
        <v>22471</v>
      </c>
    </row>
    <row r="32" spans="1:2" x14ac:dyDescent="0.3">
      <c r="A32" s="21" t="s">
        <v>515</v>
      </c>
      <c r="B32" s="22">
        <v>22206</v>
      </c>
    </row>
    <row r="33" spans="1:2" x14ac:dyDescent="0.3">
      <c r="A33" s="21" t="s">
        <v>393</v>
      </c>
      <c r="B33" s="22">
        <v>21836</v>
      </c>
    </row>
    <row r="34" spans="1:2" x14ac:dyDescent="0.3">
      <c r="A34" s="21" t="s">
        <v>13</v>
      </c>
      <c r="B34" s="22">
        <v>21551</v>
      </c>
    </row>
    <row r="35" spans="1:2" x14ac:dyDescent="0.3">
      <c r="A35" s="21" t="s">
        <v>22</v>
      </c>
      <c r="B35" s="22">
        <v>21189</v>
      </c>
    </row>
    <row r="36" spans="1:2" x14ac:dyDescent="0.3">
      <c r="A36" s="21" t="s">
        <v>508</v>
      </c>
      <c r="B36" s="22">
        <v>20394</v>
      </c>
    </row>
    <row r="37" spans="1:2" x14ac:dyDescent="0.3">
      <c r="A37" s="21" t="s">
        <v>512</v>
      </c>
      <c r="B37" s="22">
        <v>20374</v>
      </c>
    </row>
    <row r="38" spans="1:2" x14ac:dyDescent="0.3">
      <c r="A38" s="21" t="s">
        <v>516</v>
      </c>
      <c r="B38" s="22">
        <v>20319</v>
      </c>
    </row>
    <row r="39" spans="1:2" x14ac:dyDescent="0.3">
      <c r="A39" s="21" t="s">
        <v>518</v>
      </c>
      <c r="B39" s="22">
        <v>20282</v>
      </c>
    </row>
    <row r="40" spans="1:2" x14ac:dyDescent="0.3">
      <c r="A40" s="21" t="s">
        <v>511</v>
      </c>
      <c r="B40" s="22">
        <v>20095</v>
      </c>
    </row>
    <row r="41" spans="1:2" x14ac:dyDescent="0.3">
      <c r="A41" s="21" t="s">
        <v>513</v>
      </c>
      <c r="B41" s="22">
        <v>19886</v>
      </c>
    </row>
    <row r="42" spans="1:2" x14ac:dyDescent="0.3">
      <c r="A42" s="21" t="s">
        <v>521</v>
      </c>
      <c r="B42" s="22">
        <v>19763</v>
      </c>
    </row>
    <row r="43" spans="1:2" x14ac:dyDescent="0.3">
      <c r="A43" s="21" t="s">
        <v>99</v>
      </c>
      <c r="B43" s="22">
        <v>19736</v>
      </c>
    </row>
    <row r="44" spans="1:2" x14ac:dyDescent="0.3">
      <c r="A44" s="21" t="s">
        <v>219</v>
      </c>
      <c r="B44" s="22">
        <v>19605</v>
      </c>
    </row>
    <row r="45" spans="1:2" x14ac:dyDescent="0.3">
      <c r="A45" s="21" t="s">
        <v>311</v>
      </c>
      <c r="B45" s="22">
        <v>19217</v>
      </c>
    </row>
    <row r="46" spans="1:2" x14ac:dyDescent="0.3">
      <c r="A46" s="21" t="s">
        <v>231</v>
      </c>
      <c r="B46" s="22">
        <v>18704</v>
      </c>
    </row>
    <row r="47" spans="1:2" x14ac:dyDescent="0.3">
      <c r="A47" s="21" t="s">
        <v>59</v>
      </c>
      <c r="B47" s="22">
        <v>17866</v>
      </c>
    </row>
    <row r="48" spans="1:2" x14ac:dyDescent="0.3">
      <c r="A48" s="21" t="s">
        <v>523</v>
      </c>
      <c r="B48" s="22">
        <v>17134</v>
      </c>
    </row>
    <row r="49" spans="1:2" x14ac:dyDescent="0.3">
      <c r="A49" s="21" t="s">
        <v>176</v>
      </c>
      <c r="B49" s="22">
        <v>17052</v>
      </c>
    </row>
    <row r="50" spans="1:2" x14ac:dyDescent="0.3">
      <c r="A50" s="21" t="s">
        <v>510</v>
      </c>
      <c r="B50" s="22">
        <v>17005</v>
      </c>
    </row>
    <row r="51" spans="1:2" x14ac:dyDescent="0.3">
      <c r="A51" s="21" t="s">
        <v>264</v>
      </c>
      <c r="B51" s="22">
        <v>15600</v>
      </c>
    </row>
    <row r="52" spans="1:2" x14ac:dyDescent="0.3">
      <c r="A52" s="21" t="s">
        <v>435</v>
      </c>
      <c r="B52" s="22">
        <v>15446</v>
      </c>
    </row>
    <row r="53" spans="1:2" x14ac:dyDescent="0.3">
      <c r="A53" s="21" t="s">
        <v>437</v>
      </c>
      <c r="B53" s="22">
        <v>14946</v>
      </c>
    </row>
  </sheetData>
  <mergeCells count="5">
    <mergeCell ref="A1:F1"/>
    <mergeCell ref="F10:M10"/>
    <mergeCell ref="H4:V4"/>
    <mergeCell ref="H5:V5"/>
    <mergeCell ref="C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176" workbookViewId="0">
      <selection activeCell="J191" sqref="J191"/>
    </sheetView>
  </sheetViews>
  <sheetFormatPr defaultColWidth="14.44140625" defaultRowHeight="15" customHeight="1" x14ac:dyDescent="0.3"/>
  <cols>
    <col min="1" max="1" width="15.77734375" style="2" bestFit="1" customWidth="1"/>
    <col min="2" max="2" width="9.109375" style="2" bestFit="1" customWidth="1"/>
    <col min="3" max="3" width="13.77734375" style="2" bestFit="1" customWidth="1"/>
    <col min="4" max="4" width="9.44140625" style="2" bestFit="1" customWidth="1"/>
    <col min="5" max="5" width="14.21875" style="2" bestFit="1" customWidth="1"/>
    <col min="6" max="6" width="16.44140625" style="2" bestFit="1" customWidth="1"/>
    <col min="7" max="7" width="9.6640625" style="2" bestFit="1" customWidth="1"/>
    <col min="8" max="26" width="8.6640625" style="2" customWidth="1"/>
    <col min="27" max="16384" width="14.44140625" style="2"/>
  </cols>
  <sheetData>
    <row r="1" spans="1:7" ht="14.25" customHeight="1" x14ac:dyDescent="0.3">
      <c r="A1" s="1" t="s">
        <v>502</v>
      </c>
      <c r="B1" s="1" t="s">
        <v>1</v>
      </c>
      <c r="C1" s="1" t="s">
        <v>503</v>
      </c>
      <c r="D1" s="1" t="s">
        <v>504</v>
      </c>
      <c r="E1" s="1" t="s">
        <v>505</v>
      </c>
      <c r="F1" s="1" t="s">
        <v>506</v>
      </c>
      <c r="G1" s="1" t="s">
        <v>507</v>
      </c>
    </row>
    <row r="2" spans="1:7" ht="14.25" customHeight="1" x14ac:dyDescent="0.3">
      <c r="A2" s="6" t="s">
        <v>186</v>
      </c>
      <c r="B2" s="3" t="s">
        <v>21</v>
      </c>
      <c r="C2" s="8">
        <v>4138</v>
      </c>
      <c r="D2" s="8">
        <v>361</v>
      </c>
      <c r="E2" s="8">
        <v>103777</v>
      </c>
      <c r="F2" s="3">
        <v>56.637790647253247</v>
      </c>
      <c r="G2" s="8">
        <v>23944</v>
      </c>
    </row>
    <row r="3" spans="1:7" ht="14.25" customHeight="1" x14ac:dyDescent="0.3">
      <c r="A3" s="6" t="s">
        <v>186</v>
      </c>
      <c r="B3" s="3" t="s">
        <v>44</v>
      </c>
      <c r="C3" s="8">
        <v>8693</v>
      </c>
      <c r="D3" s="8">
        <v>1261</v>
      </c>
      <c r="E3" s="8">
        <v>111209</v>
      </c>
      <c r="F3" s="3">
        <v>69.475492091467416</v>
      </c>
      <c r="G3" s="8">
        <v>29873</v>
      </c>
    </row>
    <row r="4" spans="1:7" ht="14.25" customHeight="1" x14ac:dyDescent="0.3">
      <c r="A4" s="6" t="s">
        <v>186</v>
      </c>
      <c r="B4" s="3" t="s">
        <v>541</v>
      </c>
      <c r="C4" s="8">
        <v>9264</v>
      </c>
      <c r="D4" s="8">
        <v>1141</v>
      </c>
      <c r="E4" s="8">
        <v>119332</v>
      </c>
      <c r="F4" s="3">
        <v>92.312204605638044</v>
      </c>
      <c r="G4" s="8">
        <v>50372</v>
      </c>
    </row>
    <row r="5" spans="1:7" ht="14.25" customHeight="1" x14ac:dyDescent="0.3">
      <c r="A5" s="6" t="s">
        <v>186</v>
      </c>
      <c r="B5" s="3" t="s">
        <v>541</v>
      </c>
      <c r="C5" s="8">
        <v>8842</v>
      </c>
      <c r="D5" s="8">
        <v>971</v>
      </c>
      <c r="E5" s="8">
        <v>127203</v>
      </c>
      <c r="F5" s="3">
        <v>16.351815601833291</v>
      </c>
      <c r="G5" s="8">
        <v>33928</v>
      </c>
    </row>
    <row r="6" spans="1:7" ht="14.25" customHeight="1" x14ac:dyDescent="0.3">
      <c r="A6" s="6" t="s">
        <v>199</v>
      </c>
      <c r="B6" s="3" t="s">
        <v>21</v>
      </c>
      <c r="C6" s="8">
        <v>7721</v>
      </c>
      <c r="D6" s="8">
        <v>506</v>
      </c>
      <c r="E6" s="8">
        <v>134418</v>
      </c>
      <c r="F6" s="3">
        <v>35.577824398518047</v>
      </c>
      <c r="G6" s="8">
        <v>25379</v>
      </c>
    </row>
    <row r="7" spans="1:7" ht="14.25" customHeight="1" x14ac:dyDescent="0.3">
      <c r="A7" s="6" t="s">
        <v>199</v>
      </c>
      <c r="B7" s="3" t="s">
        <v>541</v>
      </c>
      <c r="C7" s="8">
        <v>8002</v>
      </c>
      <c r="D7" s="8">
        <v>524</v>
      </c>
      <c r="E7" s="8">
        <v>141896</v>
      </c>
      <c r="F7" s="3">
        <v>52.064892597395271</v>
      </c>
      <c r="G7" s="8">
        <v>46751</v>
      </c>
    </row>
    <row r="8" spans="1:7" ht="14.25" customHeight="1" x14ac:dyDescent="0.3">
      <c r="A8" s="6" t="s">
        <v>199</v>
      </c>
      <c r="B8" s="3" t="s">
        <v>44</v>
      </c>
      <c r="C8" s="8">
        <v>5225</v>
      </c>
      <c r="D8" s="8">
        <v>291</v>
      </c>
      <c r="E8" s="8">
        <v>146830</v>
      </c>
      <c r="F8" s="3">
        <v>19.551862698358651</v>
      </c>
      <c r="G8" s="8">
        <v>44546</v>
      </c>
    </row>
    <row r="9" spans="1:7" ht="14.25" customHeight="1" x14ac:dyDescent="0.3">
      <c r="A9" s="6" t="s">
        <v>199</v>
      </c>
      <c r="B9" s="3" t="s">
        <v>44</v>
      </c>
      <c r="C9" s="8">
        <v>3978</v>
      </c>
      <c r="D9" s="8">
        <v>543</v>
      </c>
      <c r="E9" s="8">
        <v>150265</v>
      </c>
      <c r="F9" s="3">
        <v>49.159817655475329</v>
      </c>
      <c r="G9" s="8">
        <v>34286</v>
      </c>
    </row>
    <row r="10" spans="1:7" ht="14.25" customHeight="1" x14ac:dyDescent="0.3">
      <c r="A10" s="6" t="s">
        <v>124</v>
      </c>
      <c r="B10" s="3" t="s">
        <v>21</v>
      </c>
      <c r="C10" s="8">
        <v>8373</v>
      </c>
      <c r="D10" s="8">
        <v>921</v>
      </c>
      <c r="E10" s="8">
        <v>157717</v>
      </c>
      <c r="F10" s="3">
        <v>12.2263294381709</v>
      </c>
      <c r="G10" s="8">
        <v>15110</v>
      </c>
    </row>
    <row r="11" spans="1:7" ht="14.25" customHeight="1" x14ac:dyDescent="0.3">
      <c r="A11" s="6" t="s">
        <v>124</v>
      </c>
      <c r="B11" s="3" t="s">
        <v>44</v>
      </c>
      <c r="C11" s="8">
        <v>6907</v>
      </c>
      <c r="D11" s="8">
        <v>834</v>
      </c>
      <c r="E11" s="8">
        <v>163790</v>
      </c>
      <c r="F11" s="3">
        <v>54.158984064961238</v>
      </c>
      <c r="G11" s="8">
        <v>22087</v>
      </c>
    </row>
    <row r="12" spans="1:7" ht="14.25" customHeight="1" x14ac:dyDescent="0.3">
      <c r="A12" s="6" t="s">
        <v>124</v>
      </c>
      <c r="B12" s="3" t="s">
        <v>542</v>
      </c>
      <c r="C12" s="8">
        <v>7097</v>
      </c>
      <c r="D12" s="8">
        <v>369</v>
      </c>
      <c r="E12" s="8">
        <v>170518</v>
      </c>
      <c r="F12" s="3">
        <v>9.2506362964613711</v>
      </c>
      <c r="G12" s="8">
        <v>33762</v>
      </c>
    </row>
    <row r="13" spans="1:7" ht="14.25" customHeight="1" x14ac:dyDescent="0.3">
      <c r="A13" s="6" t="s">
        <v>124</v>
      </c>
      <c r="B13" s="3" t="s">
        <v>21</v>
      </c>
      <c r="C13" s="8">
        <v>6656</v>
      </c>
      <c r="D13" s="8">
        <v>978</v>
      </c>
      <c r="E13" s="8">
        <v>176196</v>
      </c>
      <c r="F13" s="3">
        <v>60.425889350496043</v>
      </c>
      <c r="G13" s="8">
        <v>27081</v>
      </c>
    </row>
    <row r="14" spans="1:7" ht="14.25" customHeight="1" x14ac:dyDescent="0.3">
      <c r="A14" s="6" t="s">
        <v>35</v>
      </c>
      <c r="B14" s="3" t="s">
        <v>44</v>
      </c>
      <c r="C14" s="8">
        <v>9984</v>
      </c>
      <c r="D14" s="8">
        <v>1330</v>
      </c>
      <c r="E14" s="8">
        <v>184850</v>
      </c>
      <c r="F14" s="3">
        <v>57.524479307546663</v>
      </c>
      <c r="G14" s="8">
        <v>44947</v>
      </c>
    </row>
    <row r="15" spans="1:7" ht="14.25" customHeight="1" x14ac:dyDescent="0.3">
      <c r="A15" s="6" t="s">
        <v>35</v>
      </c>
      <c r="B15" s="3" t="s">
        <v>21</v>
      </c>
      <c r="C15" s="8">
        <v>5259</v>
      </c>
      <c r="D15" s="8">
        <v>374</v>
      </c>
      <c r="E15" s="8">
        <v>189735</v>
      </c>
      <c r="F15" s="3">
        <v>14.827522597306769</v>
      </c>
      <c r="G15" s="8">
        <v>19596</v>
      </c>
    </row>
    <row r="16" spans="1:7" ht="14.25" customHeight="1" x14ac:dyDescent="0.3">
      <c r="A16" s="6" t="s">
        <v>35</v>
      </c>
      <c r="B16" s="3" t="s">
        <v>541</v>
      </c>
      <c r="C16" s="8">
        <v>9286</v>
      </c>
      <c r="D16" s="8">
        <v>633</v>
      </c>
      <c r="E16" s="8">
        <v>198388</v>
      </c>
      <c r="F16" s="3">
        <v>5.4343004617214756</v>
      </c>
      <c r="G16" s="8">
        <v>48019</v>
      </c>
    </row>
    <row r="17" spans="1:7" ht="14.25" customHeight="1" x14ac:dyDescent="0.3">
      <c r="A17" s="6" t="s">
        <v>35</v>
      </c>
      <c r="B17" s="3" t="s">
        <v>44</v>
      </c>
      <c r="C17" s="8">
        <v>6901</v>
      </c>
      <c r="D17" s="8">
        <v>471</v>
      </c>
      <c r="E17" s="8">
        <v>204818</v>
      </c>
      <c r="F17" s="3">
        <v>60.827661631301943</v>
      </c>
      <c r="G17" s="8">
        <v>52003</v>
      </c>
    </row>
    <row r="18" spans="1:7" ht="14.25" customHeight="1" x14ac:dyDescent="0.3">
      <c r="A18" s="6" t="s">
        <v>393</v>
      </c>
      <c r="B18" s="3" t="s">
        <v>542</v>
      </c>
      <c r="C18" s="8">
        <v>5917</v>
      </c>
      <c r="D18" s="8">
        <v>475</v>
      </c>
      <c r="E18" s="8">
        <v>210260</v>
      </c>
      <c r="F18" s="3">
        <v>17.894035955483691</v>
      </c>
      <c r="G18" s="8">
        <v>28313</v>
      </c>
    </row>
    <row r="19" spans="1:7" ht="14.25" customHeight="1" x14ac:dyDescent="0.3">
      <c r="A19" s="6" t="s">
        <v>393</v>
      </c>
      <c r="B19" s="3" t="s">
        <v>44</v>
      </c>
      <c r="C19" s="8">
        <v>9429</v>
      </c>
      <c r="D19" s="8">
        <v>966</v>
      </c>
      <c r="E19" s="8">
        <v>218723</v>
      </c>
      <c r="F19" s="3">
        <v>7.6914636320825887</v>
      </c>
      <c r="G19" s="8">
        <v>57639</v>
      </c>
    </row>
    <row r="20" spans="1:7" ht="14.25" customHeight="1" x14ac:dyDescent="0.3">
      <c r="A20" s="6" t="s">
        <v>393</v>
      </c>
      <c r="B20" s="3" t="s">
        <v>21</v>
      </c>
      <c r="C20" s="8">
        <v>3530</v>
      </c>
      <c r="D20" s="8">
        <v>328</v>
      </c>
      <c r="E20" s="8">
        <v>221925</v>
      </c>
      <c r="F20" s="3">
        <v>12.8372197814577</v>
      </c>
      <c r="G20" s="8">
        <v>11013</v>
      </c>
    </row>
    <row r="21" spans="1:7" ht="14.25" customHeight="1" x14ac:dyDescent="0.3">
      <c r="A21" s="6" t="s">
        <v>393</v>
      </c>
      <c r="B21" s="3" t="s">
        <v>21</v>
      </c>
      <c r="C21" s="8">
        <v>2960</v>
      </c>
      <c r="D21" s="8">
        <v>234</v>
      </c>
      <c r="E21" s="8">
        <v>224651</v>
      </c>
      <c r="F21" s="3">
        <v>17.41278694508371</v>
      </c>
      <c r="G21" s="8">
        <v>59378</v>
      </c>
    </row>
    <row r="22" spans="1:7" ht="14.25" customHeight="1" x14ac:dyDescent="0.3">
      <c r="A22" s="6" t="s">
        <v>508</v>
      </c>
      <c r="B22" s="3" t="s">
        <v>44</v>
      </c>
      <c r="C22" s="8">
        <v>8045</v>
      </c>
      <c r="D22" s="8">
        <v>894</v>
      </c>
      <c r="E22" s="8">
        <v>231802</v>
      </c>
      <c r="F22" s="3">
        <v>47.634187798207087</v>
      </c>
      <c r="G22" s="8">
        <v>33705</v>
      </c>
    </row>
    <row r="23" spans="1:7" ht="14.25" customHeight="1" x14ac:dyDescent="0.3">
      <c r="A23" s="6" t="s">
        <v>508</v>
      </c>
      <c r="B23" s="3" t="s">
        <v>542</v>
      </c>
      <c r="C23" s="8">
        <v>2048</v>
      </c>
      <c r="D23" s="8">
        <v>130</v>
      </c>
      <c r="E23" s="8">
        <v>233720</v>
      </c>
      <c r="F23" s="3">
        <v>39.284614068115687</v>
      </c>
      <c r="G23" s="8">
        <v>11828</v>
      </c>
    </row>
    <row r="24" spans="1:7" ht="14.25" customHeight="1" x14ac:dyDescent="0.3">
      <c r="A24" s="6" t="s">
        <v>508</v>
      </c>
      <c r="B24" s="3" t="s">
        <v>542</v>
      </c>
      <c r="C24" s="8">
        <v>6772</v>
      </c>
      <c r="D24" s="8">
        <v>536</v>
      </c>
      <c r="E24" s="8">
        <v>239956</v>
      </c>
      <c r="F24" s="3">
        <v>9.8205504342462788</v>
      </c>
      <c r="G24" s="8">
        <v>17909</v>
      </c>
    </row>
    <row r="25" spans="1:7" ht="14.25" customHeight="1" x14ac:dyDescent="0.3">
      <c r="A25" s="6" t="s">
        <v>508</v>
      </c>
      <c r="B25" s="3" t="s">
        <v>542</v>
      </c>
      <c r="C25" s="8">
        <v>3529</v>
      </c>
      <c r="D25" s="8">
        <v>305</v>
      </c>
      <c r="E25" s="8">
        <v>243180</v>
      </c>
      <c r="F25" s="3">
        <v>41.606628834608109</v>
      </c>
      <c r="G25" s="8">
        <v>48356</v>
      </c>
    </row>
    <row r="26" spans="1:7" ht="14.25" customHeight="1" x14ac:dyDescent="0.3">
      <c r="A26" s="6" t="s">
        <v>264</v>
      </c>
      <c r="B26" s="3" t="s">
        <v>21</v>
      </c>
      <c r="C26" s="8">
        <v>3964</v>
      </c>
      <c r="D26" s="8">
        <v>378</v>
      </c>
      <c r="E26" s="8">
        <v>246766</v>
      </c>
      <c r="F26" s="3">
        <v>13.6355899921383</v>
      </c>
      <c r="G26" s="8">
        <v>23109</v>
      </c>
    </row>
    <row r="27" spans="1:7" ht="14.25" customHeight="1" x14ac:dyDescent="0.3">
      <c r="A27" s="6" t="s">
        <v>264</v>
      </c>
      <c r="B27" s="3" t="s">
        <v>44</v>
      </c>
      <c r="C27" s="8">
        <v>8137</v>
      </c>
      <c r="D27" s="8">
        <v>1045</v>
      </c>
      <c r="E27" s="8">
        <v>253858</v>
      </c>
      <c r="F27" s="3">
        <v>20.47246886054408</v>
      </c>
      <c r="G27" s="8">
        <v>12023</v>
      </c>
    </row>
    <row r="28" spans="1:7" ht="14.25" customHeight="1" x14ac:dyDescent="0.3">
      <c r="A28" s="6" t="s">
        <v>264</v>
      </c>
      <c r="B28" s="3" t="s">
        <v>541</v>
      </c>
      <c r="C28" s="8">
        <v>1963</v>
      </c>
      <c r="D28" s="8">
        <v>137</v>
      </c>
      <c r="E28" s="8">
        <v>255684</v>
      </c>
      <c r="F28" s="3">
        <v>11.2083665774941</v>
      </c>
      <c r="G28" s="8">
        <v>24537</v>
      </c>
    </row>
    <row r="29" spans="1:7" ht="14.25" customHeight="1" x14ac:dyDescent="0.3">
      <c r="A29" s="6" t="s">
        <v>264</v>
      </c>
      <c r="B29" s="3" t="s">
        <v>21</v>
      </c>
      <c r="C29" s="8">
        <v>1536</v>
      </c>
      <c r="D29" s="8">
        <v>155</v>
      </c>
      <c r="E29" s="8">
        <v>257065</v>
      </c>
      <c r="F29" s="3">
        <v>12.15762550327738</v>
      </c>
      <c r="G29" s="8">
        <v>36661</v>
      </c>
    </row>
    <row r="30" spans="1:7" ht="14.25" customHeight="1" x14ac:dyDescent="0.3">
      <c r="A30" s="6" t="s">
        <v>509</v>
      </c>
      <c r="B30" s="3" t="s">
        <v>542</v>
      </c>
      <c r="C30" s="8">
        <v>8340</v>
      </c>
      <c r="D30" s="8">
        <v>911</v>
      </c>
      <c r="E30" s="8">
        <v>264494</v>
      </c>
      <c r="F30" s="3">
        <v>37.302925586213682</v>
      </c>
      <c r="G30" s="8">
        <v>48659</v>
      </c>
    </row>
    <row r="31" spans="1:7" ht="14.25" customHeight="1" x14ac:dyDescent="0.3">
      <c r="A31" s="6" t="s">
        <v>509</v>
      </c>
      <c r="B31" s="3" t="s">
        <v>44</v>
      </c>
      <c r="C31" s="8">
        <v>8179</v>
      </c>
      <c r="D31" s="8">
        <v>446</v>
      </c>
      <c r="E31" s="8">
        <v>272227</v>
      </c>
      <c r="F31" s="3">
        <v>41.82171496581897</v>
      </c>
      <c r="G31" s="8">
        <v>43848</v>
      </c>
    </row>
    <row r="32" spans="1:7" ht="14.25" customHeight="1" x14ac:dyDescent="0.3">
      <c r="A32" s="6" t="s">
        <v>509</v>
      </c>
      <c r="B32" s="3" t="s">
        <v>542</v>
      </c>
      <c r="C32" s="8">
        <v>8967</v>
      </c>
      <c r="D32" s="8">
        <v>993</v>
      </c>
      <c r="E32" s="8">
        <v>280201</v>
      </c>
      <c r="F32" s="3">
        <v>52.792102811910027</v>
      </c>
      <c r="G32" s="8">
        <v>47804</v>
      </c>
    </row>
    <row r="33" spans="1:7" ht="14.25" customHeight="1" x14ac:dyDescent="0.3">
      <c r="A33" s="6" t="s">
        <v>509</v>
      </c>
      <c r="B33" s="3" t="s">
        <v>541</v>
      </c>
      <c r="C33" s="8">
        <v>9734</v>
      </c>
      <c r="D33" s="8">
        <v>652</v>
      </c>
      <c r="E33" s="8">
        <v>289283</v>
      </c>
      <c r="F33" s="3">
        <v>49.647922622483861</v>
      </c>
      <c r="G33" s="8">
        <v>25379</v>
      </c>
    </row>
    <row r="34" spans="1:7" ht="14.25" customHeight="1" x14ac:dyDescent="0.3">
      <c r="A34" s="6" t="s">
        <v>219</v>
      </c>
      <c r="B34" s="3" t="s">
        <v>542</v>
      </c>
      <c r="C34" s="8">
        <v>1845</v>
      </c>
      <c r="D34" s="8">
        <v>104</v>
      </c>
      <c r="E34" s="8">
        <v>291024</v>
      </c>
      <c r="F34" s="3">
        <v>28.158158777282971</v>
      </c>
      <c r="G34" s="8">
        <v>37766</v>
      </c>
    </row>
    <row r="35" spans="1:7" ht="14.25" customHeight="1" x14ac:dyDescent="0.3">
      <c r="A35" s="6" t="s">
        <v>219</v>
      </c>
      <c r="B35" s="3" t="s">
        <v>542</v>
      </c>
      <c r="C35" s="8">
        <v>6777</v>
      </c>
      <c r="D35" s="8">
        <v>981</v>
      </c>
      <c r="E35" s="8">
        <v>296820</v>
      </c>
      <c r="F35" s="3">
        <v>23.920557913887201</v>
      </c>
      <c r="G35" s="8">
        <v>53590</v>
      </c>
    </row>
    <row r="36" spans="1:7" ht="14.25" customHeight="1" x14ac:dyDescent="0.3">
      <c r="A36" s="6" t="s">
        <v>219</v>
      </c>
      <c r="B36" s="3" t="s">
        <v>541</v>
      </c>
      <c r="C36" s="8">
        <v>4036</v>
      </c>
      <c r="D36" s="8">
        <v>591</v>
      </c>
      <c r="E36" s="8">
        <v>300265</v>
      </c>
      <c r="F36" s="3">
        <v>44.219272975538267</v>
      </c>
      <c r="G36" s="8">
        <v>12563</v>
      </c>
    </row>
    <row r="37" spans="1:7" ht="14.25" customHeight="1" x14ac:dyDescent="0.3">
      <c r="A37" s="6" t="s">
        <v>219</v>
      </c>
      <c r="B37" s="3" t="s">
        <v>44</v>
      </c>
      <c r="C37" s="8">
        <v>6947</v>
      </c>
      <c r="D37" s="8">
        <v>908</v>
      </c>
      <c r="E37" s="8">
        <v>306304</v>
      </c>
      <c r="F37" s="3">
        <v>14.117673944839121</v>
      </c>
      <c r="G37" s="8">
        <v>46060</v>
      </c>
    </row>
    <row r="38" spans="1:7" ht="14.25" customHeight="1" x14ac:dyDescent="0.3">
      <c r="A38" s="6" t="s">
        <v>435</v>
      </c>
      <c r="B38" s="3" t="s">
        <v>21</v>
      </c>
      <c r="C38" s="8">
        <v>3494</v>
      </c>
      <c r="D38" s="8">
        <v>281</v>
      </c>
      <c r="E38" s="8">
        <v>309517</v>
      </c>
      <c r="F38" s="3">
        <v>27.765518533715429</v>
      </c>
      <c r="G38" s="8">
        <v>39197</v>
      </c>
    </row>
    <row r="39" spans="1:7" ht="14.25" customHeight="1" x14ac:dyDescent="0.3">
      <c r="A39" s="6" t="s">
        <v>435</v>
      </c>
      <c r="B39" s="3" t="s">
        <v>44</v>
      </c>
      <c r="C39" s="8">
        <v>3719</v>
      </c>
      <c r="D39" s="8">
        <v>222</v>
      </c>
      <c r="E39" s="8">
        <v>313014</v>
      </c>
      <c r="F39" s="3">
        <v>21.669318305251519</v>
      </c>
      <c r="G39" s="8">
        <v>13586</v>
      </c>
    </row>
    <row r="40" spans="1:7" ht="14.25" customHeight="1" x14ac:dyDescent="0.3">
      <c r="A40" s="6" t="s">
        <v>435</v>
      </c>
      <c r="B40" s="3" t="s">
        <v>541</v>
      </c>
      <c r="C40" s="8">
        <v>2884</v>
      </c>
      <c r="D40" s="8">
        <v>341</v>
      </c>
      <c r="E40" s="8">
        <v>315557</v>
      </c>
      <c r="F40" s="3">
        <v>46.999749649033298</v>
      </c>
      <c r="G40" s="8">
        <v>26087</v>
      </c>
    </row>
    <row r="41" spans="1:7" ht="14.25" customHeight="1" x14ac:dyDescent="0.3">
      <c r="A41" s="6" t="s">
        <v>435</v>
      </c>
      <c r="B41" s="3" t="s">
        <v>542</v>
      </c>
      <c r="C41" s="8">
        <v>5349</v>
      </c>
      <c r="D41" s="8">
        <v>502</v>
      </c>
      <c r="E41" s="8">
        <v>320404</v>
      </c>
      <c r="F41" s="3">
        <v>5.2152906954969351</v>
      </c>
      <c r="G41" s="8">
        <v>58868</v>
      </c>
    </row>
    <row r="42" spans="1:7" ht="14.25" customHeight="1" x14ac:dyDescent="0.3">
      <c r="A42" s="6" t="s">
        <v>27</v>
      </c>
      <c r="B42" s="3" t="s">
        <v>44</v>
      </c>
      <c r="C42" s="8">
        <v>6179</v>
      </c>
      <c r="D42" s="8">
        <v>384</v>
      </c>
      <c r="E42" s="8">
        <v>326199</v>
      </c>
      <c r="F42" s="3">
        <v>14.71218489327067</v>
      </c>
      <c r="G42" s="8">
        <v>33225</v>
      </c>
    </row>
    <row r="43" spans="1:7" ht="14.25" customHeight="1" x14ac:dyDescent="0.3">
      <c r="A43" s="6" t="s">
        <v>27</v>
      </c>
      <c r="B43" s="3" t="s">
        <v>21</v>
      </c>
      <c r="C43" s="8">
        <v>7610</v>
      </c>
      <c r="D43" s="8">
        <v>757</v>
      </c>
      <c r="E43" s="8">
        <v>333052</v>
      </c>
      <c r="F43" s="3">
        <v>44.450416151231643</v>
      </c>
      <c r="G43" s="8">
        <v>39750</v>
      </c>
    </row>
    <row r="44" spans="1:7" ht="14.25" customHeight="1" x14ac:dyDescent="0.3">
      <c r="A44" s="6" t="s">
        <v>27</v>
      </c>
      <c r="B44" s="3" t="s">
        <v>541</v>
      </c>
      <c r="C44" s="8">
        <v>7430</v>
      </c>
      <c r="D44" s="8">
        <v>397</v>
      </c>
      <c r="E44" s="8">
        <v>340085</v>
      </c>
      <c r="F44" s="3">
        <v>28.065042562888689</v>
      </c>
      <c r="G44" s="8">
        <v>16643</v>
      </c>
    </row>
    <row r="45" spans="1:7" ht="14.25" customHeight="1" x14ac:dyDescent="0.3">
      <c r="A45" s="6" t="s">
        <v>27</v>
      </c>
      <c r="B45" s="3" t="s">
        <v>44</v>
      </c>
      <c r="C45" s="8">
        <v>8154</v>
      </c>
      <c r="D45" s="8">
        <v>1149</v>
      </c>
      <c r="E45" s="8">
        <v>347090</v>
      </c>
      <c r="F45" s="3">
        <v>26.003918292085629</v>
      </c>
      <c r="G45" s="8">
        <v>37523</v>
      </c>
    </row>
    <row r="46" spans="1:7" ht="14.25" customHeight="1" x14ac:dyDescent="0.3">
      <c r="A46" s="6" t="s">
        <v>62</v>
      </c>
      <c r="B46" s="3" t="s">
        <v>21</v>
      </c>
      <c r="C46" s="8">
        <v>7488</v>
      </c>
      <c r="D46" s="8">
        <v>568</v>
      </c>
      <c r="E46" s="8">
        <v>354010</v>
      </c>
      <c r="F46" s="3">
        <v>13.47730290104799</v>
      </c>
      <c r="G46" s="8">
        <v>46727</v>
      </c>
    </row>
    <row r="47" spans="1:7" ht="14.25" customHeight="1" x14ac:dyDescent="0.3">
      <c r="A47" s="6" t="s">
        <v>62</v>
      </c>
      <c r="B47" s="3" t="s">
        <v>541</v>
      </c>
      <c r="C47" s="8">
        <v>5737</v>
      </c>
      <c r="D47" s="8">
        <v>666</v>
      </c>
      <c r="E47" s="8">
        <v>359081</v>
      </c>
      <c r="F47" s="3">
        <v>4.6034181702735593</v>
      </c>
      <c r="G47" s="8">
        <v>21005</v>
      </c>
    </row>
    <row r="48" spans="1:7" ht="14.25" customHeight="1" x14ac:dyDescent="0.3">
      <c r="A48" s="6" t="s">
        <v>62</v>
      </c>
      <c r="B48" s="3" t="s">
        <v>21</v>
      </c>
      <c r="C48" s="8">
        <v>7525</v>
      </c>
      <c r="D48" s="8">
        <v>610</v>
      </c>
      <c r="E48" s="8">
        <v>365996</v>
      </c>
      <c r="F48" s="3">
        <v>5.7694619613329108</v>
      </c>
      <c r="G48" s="8">
        <v>53543</v>
      </c>
    </row>
    <row r="49" spans="1:7" ht="14.25" customHeight="1" x14ac:dyDescent="0.3">
      <c r="A49" s="6" t="s">
        <v>62</v>
      </c>
      <c r="B49" s="3" t="s">
        <v>541</v>
      </c>
      <c r="C49" s="8">
        <v>4850</v>
      </c>
      <c r="D49" s="8">
        <v>494</v>
      </c>
      <c r="E49" s="8">
        <v>370352</v>
      </c>
      <c r="F49" s="3">
        <v>20.46539508359615</v>
      </c>
      <c r="G49" s="8">
        <v>10161</v>
      </c>
    </row>
    <row r="50" spans="1:7" ht="14.25" customHeight="1" x14ac:dyDescent="0.3">
      <c r="A50" s="6" t="s">
        <v>57</v>
      </c>
      <c r="B50" s="3" t="s">
        <v>542</v>
      </c>
      <c r="C50" s="8">
        <v>1689</v>
      </c>
      <c r="D50" s="8">
        <v>176</v>
      </c>
      <c r="E50" s="8">
        <v>371865</v>
      </c>
      <c r="F50" s="3">
        <v>38.012181840183942</v>
      </c>
      <c r="G50" s="8">
        <v>26029</v>
      </c>
    </row>
    <row r="51" spans="1:7" ht="14.25" customHeight="1" x14ac:dyDescent="0.3">
      <c r="A51" s="6" t="s">
        <v>57</v>
      </c>
      <c r="B51" s="3" t="s">
        <v>44</v>
      </c>
      <c r="C51" s="8">
        <v>6175</v>
      </c>
      <c r="D51" s="8">
        <v>422</v>
      </c>
      <c r="E51" s="8">
        <v>377618</v>
      </c>
      <c r="F51" s="3">
        <v>37.86101298137271</v>
      </c>
      <c r="G51" s="8">
        <v>59745</v>
      </c>
    </row>
    <row r="52" spans="1:7" ht="14.25" customHeight="1" x14ac:dyDescent="0.3">
      <c r="A52" s="6" t="s">
        <v>57</v>
      </c>
      <c r="B52" s="3" t="s">
        <v>21</v>
      </c>
      <c r="C52" s="8">
        <v>9648</v>
      </c>
      <c r="D52" s="8">
        <v>1417</v>
      </c>
      <c r="E52" s="8">
        <v>385849</v>
      </c>
      <c r="F52" s="3">
        <v>3.6633501706626168</v>
      </c>
      <c r="G52" s="8">
        <v>24226</v>
      </c>
    </row>
    <row r="53" spans="1:7" ht="14.25" customHeight="1" x14ac:dyDescent="0.3">
      <c r="A53" s="6" t="s">
        <v>57</v>
      </c>
      <c r="B53" s="3" t="s">
        <v>541</v>
      </c>
      <c r="C53" s="8">
        <v>6078</v>
      </c>
      <c r="D53" s="8">
        <v>775</v>
      </c>
      <c r="E53" s="8">
        <v>391152</v>
      </c>
      <c r="F53" s="3">
        <v>37.760512537325639</v>
      </c>
      <c r="G53" s="8">
        <v>38731</v>
      </c>
    </row>
    <row r="54" spans="1:7" ht="14.25" customHeight="1" x14ac:dyDescent="0.3">
      <c r="A54" s="6" t="s">
        <v>154</v>
      </c>
      <c r="B54" s="3" t="s">
        <v>21</v>
      </c>
      <c r="C54" s="8">
        <v>6448</v>
      </c>
      <c r="D54" s="8">
        <v>928</v>
      </c>
      <c r="E54" s="8">
        <v>396672</v>
      </c>
      <c r="F54" s="3">
        <v>30.118586640851881</v>
      </c>
      <c r="G54" s="8">
        <v>53922</v>
      </c>
    </row>
    <row r="55" spans="1:7" ht="14.25" customHeight="1" x14ac:dyDescent="0.3">
      <c r="A55" s="6" t="s">
        <v>154</v>
      </c>
      <c r="B55" s="3" t="s">
        <v>21</v>
      </c>
      <c r="C55" s="8">
        <v>2179</v>
      </c>
      <c r="D55" s="8">
        <v>303</v>
      </c>
      <c r="E55" s="8">
        <v>398548</v>
      </c>
      <c r="F55" s="3">
        <v>33.909842729106657</v>
      </c>
      <c r="G55" s="8">
        <v>54848</v>
      </c>
    </row>
    <row r="56" spans="1:7" ht="14.25" customHeight="1" x14ac:dyDescent="0.3">
      <c r="A56" s="6" t="s">
        <v>154</v>
      </c>
      <c r="B56" s="3" t="s">
        <v>44</v>
      </c>
      <c r="C56" s="8">
        <v>7406</v>
      </c>
      <c r="D56" s="8">
        <v>813</v>
      </c>
      <c r="E56" s="8">
        <v>405141</v>
      </c>
      <c r="F56" s="3">
        <v>24.457411123534769</v>
      </c>
      <c r="G56" s="8">
        <v>13390</v>
      </c>
    </row>
    <row r="57" spans="1:7" ht="14.25" customHeight="1" x14ac:dyDescent="0.3">
      <c r="A57" s="6" t="s">
        <v>154</v>
      </c>
      <c r="B57" s="3" t="s">
        <v>542</v>
      </c>
      <c r="C57" s="8">
        <v>9591</v>
      </c>
      <c r="D57" s="8">
        <v>1363</v>
      </c>
      <c r="E57" s="8">
        <v>413369</v>
      </c>
      <c r="F57" s="3">
        <v>10.494255737609739</v>
      </c>
      <c r="G57" s="8">
        <v>15997</v>
      </c>
    </row>
    <row r="58" spans="1:7" ht="14.25" customHeight="1" x14ac:dyDescent="0.3">
      <c r="A58" s="6" t="s">
        <v>66</v>
      </c>
      <c r="B58" s="3" t="s">
        <v>21</v>
      </c>
      <c r="C58" s="8">
        <v>7907</v>
      </c>
      <c r="D58" s="8">
        <v>465</v>
      </c>
      <c r="E58" s="8">
        <v>420811</v>
      </c>
      <c r="F58" s="3">
        <v>33.257448118038738</v>
      </c>
      <c r="G58" s="8">
        <v>22693</v>
      </c>
    </row>
    <row r="59" spans="1:7" ht="14.25" customHeight="1" x14ac:dyDescent="0.3">
      <c r="A59" s="6" t="s">
        <v>66</v>
      </c>
      <c r="B59" s="3" t="s">
        <v>541</v>
      </c>
      <c r="C59" s="8">
        <v>9800</v>
      </c>
      <c r="D59" s="8">
        <v>682</v>
      </c>
      <c r="E59" s="8">
        <v>429929</v>
      </c>
      <c r="F59" s="3">
        <v>6.2966210699906267</v>
      </c>
      <c r="G59" s="8">
        <v>59815</v>
      </c>
    </row>
    <row r="60" spans="1:7" ht="14.25" customHeight="1" x14ac:dyDescent="0.3">
      <c r="A60" s="6" t="s">
        <v>66</v>
      </c>
      <c r="B60" s="3" t="s">
        <v>541</v>
      </c>
      <c r="C60" s="8">
        <v>2638</v>
      </c>
      <c r="D60" s="8">
        <v>143</v>
      </c>
      <c r="E60" s="8">
        <v>432424</v>
      </c>
      <c r="F60" s="3">
        <v>6.9547481175882924</v>
      </c>
      <c r="G60" s="8">
        <v>52092</v>
      </c>
    </row>
    <row r="61" spans="1:7" ht="14.25" customHeight="1" x14ac:dyDescent="0.3">
      <c r="A61" s="6" t="s">
        <v>66</v>
      </c>
      <c r="B61" s="3" t="s">
        <v>542</v>
      </c>
      <c r="C61" s="8">
        <v>6671</v>
      </c>
      <c r="D61" s="8">
        <v>550</v>
      </c>
      <c r="E61" s="8">
        <v>438545</v>
      </c>
      <c r="F61" s="3">
        <v>17.750287883797562</v>
      </c>
      <c r="G61" s="8">
        <v>10541</v>
      </c>
    </row>
    <row r="62" spans="1:7" ht="14.25" customHeight="1" x14ac:dyDescent="0.3">
      <c r="A62" s="6" t="s">
        <v>510</v>
      </c>
      <c r="B62" s="3" t="s">
        <v>541</v>
      </c>
      <c r="C62" s="8">
        <v>7928</v>
      </c>
      <c r="D62" s="8">
        <v>704</v>
      </c>
      <c r="E62" s="8">
        <v>445769</v>
      </c>
      <c r="F62" s="3">
        <v>11.194362999670229</v>
      </c>
      <c r="G62" s="8">
        <v>31817</v>
      </c>
    </row>
    <row r="63" spans="1:7" ht="14.25" customHeight="1" x14ac:dyDescent="0.3">
      <c r="A63" s="6" t="s">
        <v>510</v>
      </c>
      <c r="B63" s="3" t="s">
        <v>542</v>
      </c>
      <c r="C63" s="8">
        <v>2382</v>
      </c>
      <c r="D63" s="8">
        <v>183</v>
      </c>
      <c r="E63" s="8">
        <v>447968</v>
      </c>
      <c r="F63" s="3">
        <v>4.7335970426459033</v>
      </c>
      <c r="G63" s="8">
        <v>47861</v>
      </c>
    </row>
    <row r="64" spans="1:7" ht="14.25" customHeight="1" x14ac:dyDescent="0.3">
      <c r="A64" s="6" t="s">
        <v>510</v>
      </c>
      <c r="B64" s="3" t="s">
        <v>541</v>
      </c>
      <c r="C64" s="8">
        <v>2403</v>
      </c>
      <c r="D64" s="8">
        <v>319</v>
      </c>
      <c r="E64" s="8">
        <v>450052</v>
      </c>
      <c r="F64" s="3">
        <v>29.92120910472568</v>
      </c>
      <c r="G64" s="8">
        <v>23428</v>
      </c>
    </row>
    <row r="65" spans="1:7" ht="14.25" customHeight="1" x14ac:dyDescent="0.3">
      <c r="A65" s="6" t="s">
        <v>510</v>
      </c>
      <c r="B65" s="3" t="s">
        <v>44</v>
      </c>
      <c r="C65" s="8">
        <v>4292</v>
      </c>
      <c r="D65" s="8">
        <v>367</v>
      </c>
      <c r="E65" s="8">
        <v>453977</v>
      </c>
      <c r="F65" s="3">
        <v>3.5037017293827661</v>
      </c>
      <c r="G65" s="8">
        <v>53934</v>
      </c>
    </row>
    <row r="66" spans="1:7" ht="14.25" customHeight="1" x14ac:dyDescent="0.3">
      <c r="A66" s="6" t="s">
        <v>511</v>
      </c>
      <c r="B66" s="3" t="s">
        <v>21</v>
      </c>
      <c r="C66" s="8">
        <v>1419</v>
      </c>
      <c r="D66" s="8">
        <v>110</v>
      </c>
      <c r="E66" s="8">
        <v>455286</v>
      </c>
      <c r="F66" s="3">
        <v>31.554451487636339</v>
      </c>
      <c r="G66" s="8">
        <v>58831</v>
      </c>
    </row>
    <row r="67" spans="1:7" ht="14.25" customHeight="1" x14ac:dyDescent="0.3">
      <c r="A67" s="6" t="s">
        <v>511</v>
      </c>
      <c r="B67" s="3" t="s">
        <v>44</v>
      </c>
      <c r="C67" s="8">
        <v>5517</v>
      </c>
      <c r="D67" s="8">
        <v>575</v>
      </c>
      <c r="E67" s="8">
        <v>460228</v>
      </c>
      <c r="F67" s="3">
        <v>29.45844233727631</v>
      </c>
      <c r="G67" s="8">
        <v>20258</v>
      </c>
    </row>
    <row r="68" spans="1:7" ht="14.25" customHeight="1" x14ac:dyDescent="0.3">
      <c r="A68" s="6" t="s">
        <v>511</v>
      </c>
      <c r="B68" s="3" t="s">
        <v>21</v>
      </c>
      <c r="C68" s="8">
        <v>4302</v>
      </c>
      <c r="D68" s="8">
        <v>275</v>
      </c>
      <c r="E68" s="8">
        <v>464255</v>
      </c>
      <c r="F68" s="3">
        <v>15.72131694865968</v>
      </c>
      <c r="G68" s="8">
        <v>26044</v>
      </c>
    </row>
    <row r="69" spans="1:7" ht="14.25" customHeight="1" x14ac:dyDescent="0.3">
      <c r="A69" s="6" t="s">
        <v>511</v>
      </c>
      <c r="B69" s="3" t="s">
        <v>21</v>
      </c>
      <c r="C69" s="8">
        <v>8857</v>
      </c>
      <c r="D69" s="8">
        <v>1153</v>
      </c>
      <c r="E69" s="8">
        <v>471959</v>
      </c>
      <c r="F69" s="3">
        <v>19.214592793018038</v>
      </c>
      <c r="G69" s="8">
        <v>39411</v>
      </c>
    </row>
    <row r="70" spans="1:7" ht="14.25" customHeight="1" x14ac:dyDescent="0.3">
      <c r="A70" s="6" t="s">
        <v>512</v>
      </c>
      <c r="B70" s="3" t="s">
        <v>21</v>
      </c>
      <c r="C70" s="8">
        <v>8870</v>
      </c>
      <c r="D70" s="8">
        <v>509</v>
      </c>
      <c r="E70" s="8">
        <v>480320</v>
      </c>
      <c r="F70" s="3">
        <v>25.077864756828781</v>
      </c>
      <c r="G70" s="8">
        <v>15469</v>
      </c>
    </row>
    <row r="71" spans="1:7" ht="14.25" customHeight="1" x14ac:dyDescent="0.3">
      <c r="A71" s="6" t="s">
        <v>512</v>
      </c>
      <c r="B71" s="3" t="s">
        <v>44</v>
      </c>
      <c r="C71" s="8">
        <v>6693</v>
      </c>
      <c r="D71" s="8">
        <v>995</v>
      </c>
      <c r="E71" s="8">
        <v>486018</v>
      </c>
      <c r="F71" s="3">
        <v>23.761877132122681</v>
      </c>
      <c r="G71" s="8">
        <v>38854</v>
      </c>
    </row>
    <row r="72" spans="1:7" ht="14.25" customHeight="1" x14ac:dyDescent="0.3">
      <c r="A72" s="6" t="s">
        <v>512</v>
      </c>
      <c r="B72" s="3" t="s">
        <v>21</v>
      </c>
      <c r="C72" s="8">
        <v>1767</v>
      </c>
      <c r="D72" s="8">
        <v>224</v>
      </c>
      <c r="E72" s="8">
        <v>487561</v>
      </c>
      <c r="F72" s="3">
        <v>13.208603641390511</v>
      </c>
      <c r="G72" s="8">
        <v>16256</v>
      </c>
    </row>
    <row r="73" spans="1:7" ht="14.25" customHeight="1" x14ac:dyDescent="0.3">
      <c r="A73" s="6" t="s">
        <v>512</v>
      </c>
      <c r="B73" s="3" t="s">
        <v>44</v>
      </c>
      <c r="C73" s="8">
        <v>3044</v>
      </c>
      <c r="D73" s="8">
        <v>212</v>
      </c>
      <c r="E73" s="8">
        <v>490393</v>
      </c>
      <c r="F73" s="3">
        <v>8.5343795690395261</v>
      </c>
      <c r="G73" s="8">
        <v>20720</v>
      </c>
    </row>
    <row r="74" spans="1:7" ht="14.25" customHeight="1" x14ac:dyDescent="0.3">
      <c r="A74" s="6" t="s">
        <v>513</v>
      </c>
      <c r="B74" s="3" t="s">
        <v>542</v>
      </c>
      <c r="C74" s="8">
        <v>2549</v>
      </c>
      <c r="D74" s="8">
        <v>128</v>
      </c>
      <c r="E74" s="8">
        <v>492814</v>
      </c>
      <c r="F74" s="3">
        <v>12.734216154573531</v>
      </c>
      <c r="G74" s="8">
        <v>43937</v>
      </c>
    </row>
    <row r="75" spans="1:7" ht="14.25" customHeight="1" x14ac:dyDescent="0.3">
      <c r="A75" s="6" t="s">
        <v>513</v>
      </c>
      <c r="B75" s="3" t="s">
        <v>541</v>
      </c>
      <c r="C75" s="8">
        <v>7140</v>
      </c>
      <c r="D75" s="8">
        <v>939</v>
      </c>
      <c r="E75" s="8">
        <v>499015</v>
      </c>
      <c r="F75" s="3">
        <v>25.120888149654821</v>
      </c>
      <c r="G75" s="8">
        <v>43598</v>
      </c>
    </row>
    <row r="76" spans="1:7" ht="14.25" customHeight="1" x14ac:dyDescent="0.3">
      <c r="A76" s="6" t="s">
        <v>513</v>
      </c>
      <c r="B76" s="3" t="s">
        <v>541</v>
      </c>
      <c r="C76" s="8">
        <v>4716</v>
      </c>
      <c r="D76" s="8">
        <v>569</v>
      </c>
      <c r="E76" s="8">
        <v>503162</v>
      </c>
      <c r="F76" s="3">
        <v>25.64820077827817</v>
      </c>
      <c r="G76" s="8">
        <v>11651</v>
      </c>
    </row>
    <row r="77" spans="1:7" ht="14.25" customHeight="1" x14ac:dyDescent="0.3">
      <c r="A77" s="6" t="s">
        <v>513</v>
      </c>
      <c r="B77" s="3" t="s">
        <v>21</v>
      </c>
      <c r="C77" s="8">
        <v>5481</v>
      </c>
      <c r="D77" s="8">
        <v>673</v>
      </c>
      <c r="E77" s="8">
        <v>507970</v>
      </c>
      <c r="F77" s="3">
        <v>13.08758391243577</v>
      </c>
      <c r="G77" s="8">
        <v>29194</v>
      </c>
    </row>
    <row r="78" spans="1:7" ht="14.25" customHeight="1" x14ac:dyDescent="0.3">
      <c r="A78" s="6" t="s">
        <v>514</v>
      </c>
      <c r="B78" s="3" t="s">
        <v>44</v>
      </c>
      <c r="C78" s="8">
        <v>8898</v>
      </c>
      <c r="D78" s="8">
        <v>1131</v>
      </c>
      <c r="E78" s="8">
        <v>515737</v>
      </c>
      <c r="F78" s="3">
        <v>2.1877429775253669</v>
      </c>
      <c r="G78" s="8">
        <v>35051</v>
      </c>
    </row>
    <row r="79" spans="1:7" ht="14.25" customHeight="1" x14ac:dyDescent="0.3">
      <c r="A79" s="6" t="s">
        <v>514</v>
      </c>
      <c r="B79" s="3" t="s">
        <v>541</v>
      </c>
      <c r="C79" s="8">
        <v>7548</v>
      </c>
      <c r="D79" s="8">
        <v>433</v>
      </c>
      <c r="E79" s="8">
        <v>522852</v>
      </c>
      <c r="F79" s="3">
        <v>8.3562843787534522</v>
      </c>
      <c r="G79" s="8">
        <v>37386</v>
      </c>
    </row>
    <row r="80" spans="1:7" ht="14.25" customHeight="1" x14ac:dyDescent="0.3">
      <c r="A80" s="6" t="s">
        <v>514</v>
      </c>
      <c r="B80" s="3" t="s">
        <v>44</v>
      </c>
      <c r="C80" s="8">
        <v>3293</v>
      </c>
      <c r="D80" s="8">
        <v>282</v>
      </c>
      <c r="E80" s="8">
        <v>525863</v>
      </c>
      <c r="F80" s="3">
        <v>27.040693108281051</v>
      </c>
      <c r="G80" s="8">
        <v>19518</v>
      </c>
    </row>
    <row r="81" spans="1:7" ht="14.25" customHeight="1" x14ac:dyDescent="0.3">
      <c r="A81" s="6" t="s">
        <v>514</v>
      </c>
      <c r="B81" s="3" t="s">
        <v>44</v>
      </c>
      <c r="C81" s="8">
        <v>5837</v>
      </c>
      <c r="D81" s="8">
        <v>359</v>
      </c>
      <c r="E81" s="8">
        <v>531341</v>
      </c>
      <c r="F81" s="3">
        <v>6.8073045370110723</v>
      </c>
      <c r="G81" s="8">
        <v>56026</v>
      </c>
    </row>
    <row r="82" spans="1:7" ht="14.25" customHeight="1" x14ac:dyDescent="0.3">
      <c r="A82" s="6" t="s">
        <v>128</v>
      </c>
      <c r="B82" s="3" t="s">
        <v>21</v>
      </c>
      <c r="C82" s="8">
        <v>8758</v>
      </c>
      <c r="D82" s="8">
        <v>1193</v>
      </c>
      <c r="E82" s="8">
        <v>538906</v>
      </c>
      <c r="F82" s="3">
        <v>3.4213758985797149</v>
      </c>
      <c r="G82" s="8">
        <v>26184</v>
      </c>
    </row>
    <row r="83" spans="1:7" ht="14.25" customHeight="1" x14ac:dyDescent="0.3">
      <c r="A83" s="6" t="s">
        <v>128</v>
      </c>
      <c r="B83" s="3" t="s">
        <v>541</v>
      </c>
      <c r="C83" s="8">
        <v>7793</v>
      </c>
      <c r="D83" s="8">
        <v>875</v>
      </c>
      <c r="E83" s="8">
        <v>545824</v>
      </c>
      <c r="F83" s="3">
        <v>5.5136820660139527</v>
      </c>
      <c r="G83" s="8">
        <v>43787</v>
      </c>
    </row>
    <row r="84" spans="1:7" ht="14.25" customHeight="1" x14ac:dyDescent="0.3">
      <c r="A84" s="6" t="s">
        <v>128</v>
      </c>
      <c r="B84" s="3" t="s">
        <v>21</v>
      </c>
      <c r="C84" s="8">
        <v>8638</v>
      </c>
      <c r="D84" s="8">
        <v>717</v>
      </c>
      <c r="E84" s="8">
        <v>553745</v>
      </c>
      <c r="F84" s="3">
        <v>26.921416897669499</v>
      </c>
      <c r="G84" s="8">
        <v>31621</v>
      </c>
    </row>
    <row r="85" spans="1:7" ht="14.25" customHeight="1" x14ac:dyDescent="0.3">
      <c r="A85" s="6" t="s">
        <v>128</v>
      </c>
      <c r="B85" s="3" t="s">
        <v>21</v>
      </c>
      <c r="C85" s="8">
        <v>8993</v>
      </c>
      <c r="D85" s="8">
        <v>506</v>
      </c>
      <c r="E85" s="8">
        <v>562232</v>
      </c>
      <c r="F85" s="3">
        <v>3.5131404829323132</v>
      </c>
      <c r="G85" s="8">
        <v>20028</v>
      </c>
    </row>
    <row r="86" spans="1:7" ht="14.25" customHeight="1" x14ac:dyDescent="0.3">
      <c r="A86" s="6" t="s">
        <v>159</v>
      </c>
      <c r="B86" s="3" t="s">
        <v>541</v>
      </c>
      <c r="C86" s="8">
        <v>7007</v>
      </c>
      <c r="D86" s="8">
        <v>568</v>
      </c>
      <c r="E86" s="8">
        <v>568671</v>
      </c>
      <c r="F86" s="3">
        <v>11.50507059442103</v>
      </c>
      <c r="G86" s="8">
        <v>22448</v>
      </c>
    </row>
    <row r="87" spans="1:7" ht="14.25" customHeight="1" x14ac:dyDescent="0.3">
      <c r="A87" s="6" t="s">
        <v>159</v>
      </c>
      <c r="B87" s="3" t="s">
        <v>541</v>
      </c>
      <c r="C87" s="8">
        <v>6542</v>
      </c>
      <c r="D87" s="8">
        <v>539</v>
      </c>
      <c r="E87" s="8">
        <v>574674</v>
      </c>
      <c r="F87" s="3">
        <v>6.4069368024305948</v>
      </c>
      <c r="G87" s="8">
        <v>55253</v>
      </c>
    </row>
    <row r="88" spans="1:7" ht="14.25" customHeight="1" x14ac:dyDescent="0.3">
      <c r="A88" s="6" t="s">
        <v>159</v>
      </c>
      <c r="B88" s="3" t="s">
        <v>542</v>
      </c>
      <c r="C88" s="8">
        <v>7356</v>
      </c>
      <c r="D88" s="8">
        <v>904</v>
      </c>
      <c r="E88" s="8">
        <v>581126</v>
      </c>
      <c r="F88" s="3">
        <v>17.560907617280929</v>
      </c>
      <c r="G88" s="8">
        <v>44051</v>
      </c>
    </row>
    <row r="89" spans="1:7" ht="14.25" customHeight="1" x14ac:dyDescent="0.3">
      <c r="A89" s="6" t="s">
        <v>159</v>
      </c>
      <c r="B89" s="3" t="s">
        <v>542</v>
      </c>
      <c r="C89" s="8">
        <v>9433</v>
      </c>
      <c r="D89" s="8">
        <v>1073</v>
      </c>
      <c r="E89" s="8">
        <v>589486</v>
      </c>
      <c r="F89" s="3">
        <v>7.2934726185185053</v>
      </c>
      <c r="G89" s="8">
        <v>59811</v>
      </c>
    </row>
    <row r="90" spans="1:7" ht="14.25" customHeight="1" x14ac:dyDescent="0.3">
      <c r="A90" s="6" t="s">
        <v>231</v>
      </c>
      <c r="B90" s="3" t="s">
        <v>44</v>
      </c>
      <c r="C90" s="8">
        <v>8380</v>
      </c>
      <c r="D90" s="8">
        <v>1162</v>
      </c>
      <c r="E90" s="8">
        <v>596704</v>
      </c>
      <c r="F90" s="3">
        <v>18.05853488496809</v>
      </c>
      <c r="G90" s="8">
        <v>40447</v>
      </c>
    </row>
    <row r="91" spans="1:7" ht="14.25" customHeight="1" x14ac:dyDescent="0.3">
      <c r="A91" s="6" t="s">
        <v>231</v>
      </c>
      <c r="B91" s="3" t="s">
        <v>541</v>
      </c>
      <c r="C91" s="8">
        <v>3385</v>
      </c>
      <c r="D91" s="8">
        <v>329</v>
      </c>
      <c r="E91" s="8">
        <v>599760</v>
      </c>
      <c r="F91" s="3">
        <v>17.61788048552755</v>
      </c>
      <c r="G91" s="8">
        <v>28394</v>
      </c>
    </row>
    <row r="92" spans="1:7" ht="14.25" customHeight="1" x14ac:dyDescent="0.3">
      <c r="A92" s="6" t="s">
        <v>231</v>
      </c>
      <c r="B92" s="3" t="s">
        <v>542</v>
      </c>
      <c r="C92" s="8">
        <v>5268</v>
      </c>
      <c r="D92" s="8">
        <v>326</v>
      </c>
      <c r="E92" s="8">
        <v>604702</v>
      </c>
      <c r="F92" s="3">
        <v>23.435841125050029</v>
      </c>
      <c r="G92" s="8">
        <v>44501</v>
      </c>
    </row>
    <row r="93" spans="1:7" ht="14.25" customHeight="1" x14ac:dyDescent="0.3">
      <c r="A93" s="6" t="s">
        <v>231</v>
      </c>
      <c r="B93" s="3" t="s">
        <v>44</v>
      </c>
      <c r="C93" s="8">
        <v>1671</v>
      </c>
      <c r="D93" s="8">
        <v>202</v>
      </c>
      <c r="E93" s="8">
        <v>606171</v>
      </c>
      <c r="F93" s="3">
        <v>15.150015424690389</v>
      </c>
      <c r="G93" s="8">
        <v>40254</v>
      </c>
    </row>
    <row r="94" spans="1:7" ht="14.25" customHeight="1" x14ac:dyDescent="0.3">
      <c r="A94" s="6" t="s">
        <v>515</v>
      </c>
      <c r="B94" s="3" t="s">
        <v>44</v>
      </c>
      <c r="C94" s="8">
        <v>1163</v>
      </c>
      <c r="D94" s="8">
        <v>146</v>
      </c>
      <c r="E94" s="8">
        <v>607188</v>
      </c>
      <c r="F94" s="3">
        <v>21.77776899411715</v>
      </c>
      <c r="G94" s="8">
        <v>28509</v>
      </c>
    </row>
    <row r="95" spans="1:7" ht="14.25" customHeight="1" x14ac:dyDescent="0.3">
      <c r="A95" s="6" t="s">
        <v>515</v>
      </c>
      <c r="B95" s="3" t="s">
        <v>44</v>
      </c>
      <c r="C95" s="8">
        <v>9656</v>
      </c>
      <c r="D95" s="8">
        <v>1024</v>
      </c>
      <c r="E95" s="8">
        <v>615820</v>
      </c>
      <c r="F95" s="3">
        <v>8.7252768666168681</v>
      </c>
      <c r="G95" s="8">
        <v>58998</v>
      </c>
    </row>
    <row r="96" spans="1:7" ht="14.25" customHeight="1" x14ac:dyDescent="0.3">
      <c r="A96" s="6" t="s">
        <v>515</v>
      </c>
      <c r="B96" s="3" t="s">
        <v>542</v>
      </c>
      <c r="C96" s="8">
        <v>5592</v>
      </c>
      <c r="D96" s="8">
        <v>710</v>
      </c>
      <c r="E96" s="8">
        <v>620702</v>
      </c>
      <c r="F96" s="3">
        <v>9.07118069540617</v>
      </c>
      <c r="G96" s="8">
        <v>24472</v>
      </c>
    </row>
    <row r="97" spans="1:7" ht="14.25" customHeight="1" x14ac:dyDescent="0.3">
      <c r="A97" s="6" t="s">
        <v>515</v>
      </c>
      <c r="B97" s="3" t="s">
        <v>541</v>
      </c>
      <c r="C97" s="8">
        <v>5795</v>
      </c>
      <c r="D97" s="8">
        <v>575</v>
      </c>
      <c r="E97" s="8">
        <v>625922</v>
      </c>
      <c r="F97" s="3">
        <v>3.0908004511744269</v>
      </c>
      <c r="G97" s="8">
        <v>55657</v>
      </c>
    </row>
    <row r="98" spans="1:7" ht="14.25" customHeight="1" x14ac:dyDescent="0.3">
      <c r="A98" s="6" t="s">
        <v>52</v>
      </c>
      <c r="B98" s="3" t="s">
        <v>21</v>
      </c>
      <c r="C98" s="8">
        <v>5798</v>
      </c>
      <c r="D98" s="8">
        <v>592</v>
      </c>
      <c r="E98" s="8">
        <v>631128</v>
      </c>
      <c r="F98" s="3">
        <v>1.6774727155188811</v>
      </c>
      <c r="G98" s="8">
        <v>13471</v>
      </c>
    </row>
    <row r="99" spans="1:7" ht="14.25" customHeight="1" x14ac:dyDescent="0.3">
      <c r="A99" s="6" t="s">
        <v>52</v>
      </c>
      <c r="B99" s="3" t="s">
        <v>44</v>
      </c>
      <c r="C99" s="8">
        <v>7036</v>
      </c>
      <c r="D99" s="8">
        <v>652</v>
      </c>
      <c r="E99" s="8">
        <v>637512</v>
      </c>
      <c r="F99" s="3">
        <v>3.5705994553828009</v>
      </c>
      <c r="G99" s="8">
        <v>51796</v>
      </c>
    </row>
    <row r="100" spans="1:7" ht="14.25" customHeight="1" x14ac:dyDescent="0.3">
      <c r="A100" s="6" t="s">
        <v>52</v>
      </c>
      <c r="B100" s="3" t="s">
        <v>542</v>
      </c>
      <c r="C100" s="8">
        <v>3355</v>
      </c>
      <c r="D100" s="8">
        <v>176</v>
      </c>
      <c r="E100" s="8">
        <v>640691</v>
      </c>
      <c r="F100" s="3">
        <v>12.426427091999111</v>
      </c>
      <c r="G100" s="8">
        <v>40268</v>
      </c>
    </row>
    <row r="101" spans="1:7" ht="14.25" customHeight="1" x14ac:dyDescent="0.3">
      <c r="A101" s="6" t="s">
        <v>52</v>
      </c>
      <c r="B101" s="3" t="s">
        <v>542</v>
      </c>
      <c r="C101" s="8">
        <v>6887</v>
      </c>
      <c r="D101" s="8">
        <v>418</v>
      </c>
      <c r="E101" s="8">
        <v>647160</v>
      </c>
      <c r="F101" s="3">
        <v>20.240280610668151</v>
      </c>
      <c r="G101" s="8">
        <v>18329</v>
      </c>
    </row>
    <row r="102" spans="1:7" ht="14.25" customHeight="1" x14ac:dyDescent="0.3">
      <c r="A102" s="6" t="s">
        <v>450</v>
      </c>
      <c r="B102" s="3" t="s">
        <v>21</v>
      </c>
      <c r="C102" s="8">
        <v>8961</v>
      </c>
      <c r="D102" s="8">
        <v>476</v>
      </c>
      <c r="E102" s="8">
        <v>655645</v>
      </c>
      <c r="F102" s="3">
        <v>15.458517947974901</v>
      </c>
      <c r="G102" s="8">
        <v>44865</v>
      </c>
    </row>
    <row r="103" spans="1:7" ht="14.25" customHeight="1" x14ac:dyDescent="0.3">
      <c r="A103" s="6" t="s">
        <v>450</v>
      </c>
      <c r="B103" s="3" t="s">
        <v>21</v>
      </c>
      <c r="C103" s="8">
        <v>6827</v>
      </c>
      <c r="D103" s="8">
        <v>775</v>
      </c>
      <c r="E103" s="8">
        <v>661697</v>
      </c>
      <c r="F103" s="3">
        <v>15.96622018839439</v>
      </c>
      <c r="G103" s="8">
        <v>56850</v>
      </c>
    </row>
    <row r="104" spans="1:7" ht="14.25" customHeight="1" x14ac:dyDescent="0.3">
      <c r="A104" s="6" t="s">
        <v>450</v>
      </c>
      <c r="B104" s="3" t="s">
        <v>542</v>
      </c>
      <c r="C104" s="8">
        <v>9737</v>
      </c>
      <c r="D104" s="8">
        <v>792</v>
      </c>
      <c r="E104" s="8">
        <v>670642</v>
      </c>
      <c r="F104" s="3">
        <v>5.301785453341723</v>
      </c>
      <c r="G104" s="8">
        <v>56698</v>
      </c>
    </row>
    <row r="105" spans="1:7" ht="14.25" customHeight="1" x14ac:dyDescent="0.3">
      <c r="A105" s="6" t="s">
        <v>450</v>
      </c>
      <c r="B105" s="3" t="s">
        <v>541</v>
      </c>
      <c r="C105" s="8">
        <v>5719</v>
      </c>
      <c r="D105" s="8">
        <v>576</v>
      </c>
      <c r="E105" s="8">
        <v>675785</v>
      </c>
      <c r="F105" s="3">
        <v>10.21656296011305</v>
      </c>
      <c r="G105" s="8">
        <v>38272</v>
      </c>
    </row>
    <row r="106" spans="1:7" ht="14.25" customHeight="1" x14ac:dyDescent="0.3">
      <c r="A106" s="6" t="s">
        <v>516</v>
      </c>
      <c r="B106" s="3" t="s">
        <v>21</v>
      </c>
      <c r="C106" s="8">
        <v>1593</v>
      </c>
      <c r="D106" s="8">
        <v>224</v>
      </c>
      <c r="E106" s="8">
        <v>677154</v>
      </c>
      <c r="F106" s="3">
        <v>4.1495730660972248</v>
      </c>
      <c r="G106" s="8">
        <v>52845</v>
      </c>
    </row>
    <row r="107" spans="1:7" ht="14.25" customHeight="1" x14ac:dyDescent="0.3">
      <c r="A107" s="6" t="s">
        <v>516</v>
      </c>
      <c r="B107" s="3" t="s">
        <v>542</v>
      </c>
      <c r="C107" s="8">
        <v>5839</v>
      </c>
      <c r="D107" s="8">
        <v>437</v>
      </c>
      <c r="E107" s="8">
        <v>682556</v>
      </c>
      <c r="F107" s="3">
        <v>17.44750613869045</v>
      </c>
      <c r="G107" s="8">
        <v>16397</v>
      </c>
    </row>
    <row r="108" spans="1:7" ht="14.25" customHeight="1" x14ac:dyDescent="0.3">
      <c r="A108" s="6" t="s">
        <v>516</v>
      </c>
      <c r="B108" s="3" t="s">
        <v>21</v>
      </c>
      <c r="C108" s="8">
        <v>8394</v>
      </c>
      <c r="D108" s="8">
        <v>764</v>
      </c>
      <c r="E108" s="8">
        <v>690186</v>
      </c>
      <c r="F108" s="3">
        <v>6.3556780346167558</v>
      </c>
      <c r="G108" s="8">
        <v>42373</v>
      </c>
    </row>
    <row r="109" spans="1:7" ht="14.25" customHeight="1" x14ac:dyDescent="0.3">
      <c r="A109" s="6" t="s">
        <v>516</v>
      </c>
      <c r="B109" s="3" t="s">
        <v>541</v>
      </c>
      <c r="C109" s="8">
        <v>4493</v>
      </c>
      <c r="D109" s="8">
        <v>564</v>
      </c>
      <c r="E109" s="8">
        <v>694115</v>
      </c>
      <c r="F109" s="3">
        <v>16.625487131094989</v>
      </c>
      <c r="G109" s="8">
        <v>45525</v>
      </c>
    </row>
    <row r="110" spans="1:7" ht="14.25" customHeight="1" x14ac:dyDescent="0.3">
      <c r="A110" s="6" t="s">
        <v>176</v>
      </c>
      <c r="B110" s="3" t="s">
        <v>44</v>
      </c>
      <c r="C110" s="8">
        <v>7164</v>
      </c>
      <c r="D110" s="8">
        <v>522</v>
      </c>
      <c r="E110" s="8">
        <v>700757</v>
      </c>
      <c r="F110" s="3">
        <v>13.449169969047761</v>
      </c>
      <c r="G110" s="8">
        <v>34570</v>
      </c>
    </row>
    <row r="111" spans="1:7" ht="14.25" customHeight="1" x14ac:dyDescent="0.3">
      <c r="A111" s="6" t="s">
        <v>176</v>
      </c>
      <c r="B111" s="3" t="s">
        <v>21</v>
      </c>
      <c r="C111" s="8">
        <v>3672</v>
      </c>
      <c r="D111" s="8">
        <v>211</v>
      </c>
      <c r="E111" s="8">
        <v>704218</v>
      </c>
      <c r="F111" s="3">
        <v>12.35057894004413</v>
      </c>
      <c r="G111" s="8">
        <v>28284</v>
      </c>
    </row>
    <row r="112" spans="1:7" ht="14.25" customHeight="1" x14ac:dyDescent="0.3">
      <c r="A112" s="6" t="s">
        <v>176</v>
      </c>
      <c r="B112" s="3" t="s">
        <v>541</v>
      </c>
      <c r="C112" s="8">
        <v>5200</v>
      </c>
      <c r="D112" s="8">
        <v>410</v>
      </c>
      <c r="E112" s="8">
        <v>709008</v>
      </c>
      <c r="F112" s="3">
        <v>12.913394489201821</v>
      </c>
      <c r="G112" s="8">
        <v>28994</v>
      </c>
    </row>
    <row r="113" spans="1:7" ht="14.25" customHeight="1" x14ac:dyDescent="0.3">
      <c r="A113" s="6" t="s">
        <v>176</v>
      </c>
      <c r="B113" s="3" t="s">
        <v>542</v>
      </c>
      <c r="C113" s="8">
        <v>1016</v>
      </c>
      <c r="D113" s="8">
        <v>67</v>
      </c>
      <c r="E113" s="8">
        <v>709957</v>
      </c>
      <c r="F113" s="3">
        <v>20.774215903216671</v>
      </c>
      <c r="G113" s="8">
        <v>33284</v>
      </c>
    </row>
    <row r="114" spans="1:7" ht="14.25" customHeight="1" x14ac:dyDescent="0.3">
      <c r="A114" s="6" t="s">
        <v>87</v>
      </c>
      <c r="B114" s="3" t="s">
        <v>21</v>
      </c>
      <c r="C114" s="8">
        <v>4191</v>
      </c>
      <c r="D114" s="8">
        <v>599</v>
      </c>
      <c r="E114" s="8">
        <v>713549</v>
      </c>
      <c r="F114" s="3">
        <v>11.56416728213479</v>
      </c>
      <c r="G114" s="8">
        <v>27833</v>
      </c>
    </row>
    <row r="115" spans="1:7" ht="14.25" customHeight="1" x14ac:dyDescent="0.3">
      <c r="A115" s="6" t="s">
        <v>87</v>
      </c>
      <c r="B115" s="3" t="s">
        <v>21</v>
      </c>
      <c r="C115" s="8">
        <v>1392</v>
      </c>
      <c r="D115" s="8">
        <v>182</v>
      </c>
      <c r="E115" s="8">
        <v>714759</v>
      </c>
      <c r="F115" s="3">
        <v>5.9603306848881932</v>
      </c>
      <c r="G115" s="8">
        <v>35122</v>
      </c>
    </row>
    <row r="116" spans="1:7" ht="14.25" customHeight="1" x14ac:dyDescent="0.3">
      <c r="A116" s="6" t="s">
        <v>87</v>
      </c>
      <c r="B116" s="3" t="s">
        <v>542</v>
      </c>
      <c r="C116" s="8">
        <v>9616</v>
      </c>
      <c r="D116" s="8">
        <v>1089</v>
      </c>
      <c r="E116" s="8">
        <v>723286</v>
      </c>
      <c r="F116" s="3">
        <v>19.25863351426683</v>
      </c>
      <c r="G116" s="8">
        <v>15017</v>
      </c>
    </row>
    <row r="117" spans="1:7" ht="14.25" customHeight="1" x14ac:dyDescent="0.3">
      <c r="A117" s="6" t="s">
        <v>87</v>
      </c>
      <c r="B117" s="3" t="s">
        <v>44</v>
      </c>
      <c r="C117" s="8">
        <v>7272</v>
      </c>
      <c r="D117" s="8">
        <v>997</v>
      </c>
      <c r="E117" s="8">
        <v>729561</v>
      </c>
      <c r="F117" s="3">
        <v>13.428486445958599</v>
      </c>
      <c r="G117" s="8">
        <v>26370</v>
      </c>
    </row>
    <row r="118" spans="1:7" ht="14.25" customHeight="1" x14ac:dyDescent="0.3">
      <c r="A118" s="6" t="s">
        <v>13</v>
      </c>
      <c r="B118" s="3" t="s">
        <v>542</v>
      </c>
      <c r="C118" s="8">
        <v>1571</v>
      </c>
      <c r="D118" s="8">
        <v>204</v>
      </c>
      <c r="E118" s="8">
        <v>730928</v>
      </c>
      <c r="F118" s="3">
        <v>19.449384891535139</v>
      </c>
      <c r="G118" s="8">
        <v>39252</v>
      </c>
    </row>
    <row r="119" spans="1:7" ht="14.25" customHeight="1" x14ac:dyDescent="0.3">
      <c r="A119" s="6" t="s">
        <v>13</v>
      </c>
      <c r="B119" s="3" t="s">
        <v>21</v>
      </c>
      <c r="C119" s="8">
        <v>4631</v>
      </c>
      <c r="D119" s="8">
        <v>317</v>
      </c>
      <c r="E119" s="8">
        <v>735242</v>
      </c>
      <c r="F119" s="3">
        <v>1.381177897889402</v>
      </c>
      <c r="G119" s="8">
        <v>17999</v>
      </c>
    </row>
    <row r="120" spans="1:7" ht="14.25" customHeight="1" x14ac:dyDescent="0.3">
      <c r="A120" s="6" t="s">
        <v>13</v>
      </c>
      <c r="B120" s="3" t="s">
        <v>542</v>
      </c>
      <c r="C120" s="8">
        <v>7172</v>
      </c>
      <c r="D120" s="8">
        <v>998</v>
      </c>
      <c r="E120" s="8">
        <v>741416</v>
      </c>
      <c r="F120" s="3">
        <v>18.0667803230575</v>
      </c>
      <c r="G120" s="8">
        <v>32436</v>
      </c>
    </row>
    <row r="121" spans="1:7" ht="14.25" customHeight="1" x14ac:dyDescent="0.3">
      <c r="A121" s="6" t="s">
        <v>13</v>
      </c>
      <c r="B121" s="3" t="s">
        <v>541</v>
      </c>
      <c r="C121" s="8">
        <v>8177</v>
      </c>
      <c r="D121" s="8">
        <v>849</v>
      </c>
      <c r="E121" s="8">
        <v>748744</v>
      </c>
      <c r="F121" s="3">
        <v>10.34986590877523</v>
      </c>
      <c r="G121" s="8">
        <v>52963</v>
      </c>
    </row>
    <row r="122" spans="1:7" ht="14.25" customHeight="1" x14ac:dyDescent="0.3">
      <c r="A122" s="6" t="s">
        <v>517</v>
      </c>
      <c r="B122" s="3" t="s">
        <v>542</v>
      </c>
      <c r="C122" s="8">
        <v>9433</v>
      </c>
      <c r="D122" s="8">
        <v>1233</v>
      </c>
      <c r="E122" s="8">
        <v>756944</v>
      </c>
      <c r="F122" s="3">
        <v>11.391727789638329</v>
      </c>
      <c r="G122" s="8">
        <v>12096</v>
      </c>
    </row>
    <row r="123" spans="1:7" ht="14.25" customHeight="1" x14ac:dyDescent="0.3">
      <c r="A123" s="6" t="s">
        <v>517</v>
      </c>
      <c r="B123" s="3" t="s">
        <v>21</v>
      </c>
      <c r="C123" s="8">
        <v>4897</v>
      </c>
      <c r="D123" s="8">
        <v>683</v>
      </c>
      <c r="E123" s="8">
        <v>761158</v>
      </c>
      <c r="F123" s="3">
        <v>15.06231294947961</v>
      </c>
      <c r="G123" s="8">
        <v>58201</v>
      </c>
    </row>
    <row r="124" spans="1:7" ht="14.25" customHeight="1" x14ac:dyDescent="0.3">
      <c r="A124" s="6" t="s">
        <v>517</v>
      </c>
      <c r="B124" s="3" t="s">
        <v>542</v>
      </c>
      <c r="C124" s="8">
        <v>9123</v>
      </c>
      <c r="D124" s="8">
        <v>746</v>
      </c>
      <c r="E124" s="8">
        <v>769535</v>
      </c>
      <c r="F124" s="3">
        <v>6.3086149427901264</v>
      </c>
      <c r="G124" s="8">
        <v>35279</v>
      </c>
    </row>
    <row r="125" spans="1:7" ht="14.25" customHeight="1" x14ac:dyDescent="0.3">
      <c r="A125" s="6" t="s">
        <v>517</v>
      </c>
      <c r="B125" s="3" t="s">
        <v>44</v>
      </c>
      <c r="C125" s="8">
        <v>3279</v>
      </c>
      <c r="D125" s="8">
        <v>200</v>
      </c>
      <c r="E125" s="8">
        <v>772614</v>
      </c>
      <c r="F125" s="3">
        <v>5.0212654702089274</v>
      </c>
      <c r="G125" s="8">
        <v>53363</v>
      </c>
    </row>
    <row r="126" spans="1:7" ht="14.25" customHeight="1" x14ac:dyDescent="0.3">
      <c r="A126" s="6" t="s">
        <v>97</v>
      </c>
      <c r="B126" s="3" t="s">
        <v>542</v>
      </c>
      <c r="C126" s="8">
        <v>9980</v>
      </c>
      <c r="D126" s="8">
        <v>726</v>
      </c>
      <c r="E126" s="8">
        <v>781868</v>
      </c>
      <c r="F126" s="3">
        <v>4.0220344099003924</v>
      </c>
      <c r="G126" s="8">
        <v>58709</v>
      </c>
    </row>
    <row r="127" spans="1:7" ht="14.25" customHeight="1" x14ac:dyDescent="0.3">
      <c r="A127" s="6" t="s">
        <v>97</v>
      </c>
      <c r="B127" s="3" t="s">
        <v>44</v>
      </c>
      <c r="C127" s="8">
        <v>8451</v>
      </c>
      <c r="D127" s="8">
        <v>783</v>
      </c>
      <c r="E127" s="8">
        <v>789536</v>
      </c>
      <c r="F127" s="3">
        <v>12.407287318121019</v>
      </c>
      <c r="G127" s="8">
        <v>36201</v>
      </c>
    </row>
    <row r="128" spans="1:7" ht="14.25" customHeight="1" x14ac:dyDescent="0.3">
      <c r="A128" s="6" t="s">
        <v>97</v>
      </c>
      <c r="B128" s="3" t="s">
        <v>541</v>
      </c>
      <c r="C128" s="8">
        <v>9906</v>
      </c>
      <c r="D128" s="8">
        <v>1305</v>
      </c>
      <c r="E128" s="8">
        <v>798137</v>
      </c>
      <c r="F128" s="3">
        <v>9.1811305577864442</v>
      </c>
      <c r="G128" s="8">
        <v>29715</v>
      </c>
    </row>
    <row r="129" spans="1:7" ht="14.25" customHeight="1" x14ac:dyDescent="0.3">
      <c r="A129" s="6" t="s">
        <v>97</v>
      </c>
      <c r="B129" s="3" t="s">
        <v>44</v>
      </c>
      <c r="C129" s="8">
        <v>1775</v>
      </c>
      <c r="D129" s="8">
        <v>241</v>
      </c>
      <c r="E129" s="8">
        <v>799671</v>
      </c>
      <c r="F129" s="3">
        <v>8.1379717408784362</v>
      </c>
      <c r="G129" s="8">
        <v>39309</v>
      </c>
    </row>
    <row r="130" spans="1:7" ht="14.25" customHeight="1" x14ac:dyDescent="0.3">
      <c r="A130" s="6" t="s">
        <v>518</v>
      </c>
      <c r="B130" s="3" t="s">
        <v>542</v>
      </c>
      <c r="C130" s="8">
        <v>7869</v>
      </c>
      <c r="D130" s="8">
        <v>398</v>
      </c>
      <c r="E130" s="8">
        <v>807142</v>
      </c>
      <c r="F130" s="3">
        <v>15.211945357818079</v>
      </c>
      <c r="G130" s="8">
        <v>25078</v>
      </c>
    </row>
    <row r="131" spans="1:7" ht="14.25" customHeight="1" x14ac:dyDescent="0.3">
      <c r="A131" s="6" t="s">
        <v>518</v>
      </c>
      <c r="B131" s="3" t="s">
        <v>21</v>
      </c>
      <c r="C131" s="8">
        <v>3247</v>
      </c>
      <c r="D131" s="8">
        <v>328</v>
      </c>
      <c r="E131" s="8">
        <v>810061</v>
      </c>
      <c r="F131" s="3">
        <v>13.941172331466399</v>
      </c>
      <c r="G131" s="8">
        <v>15105</v>
      </c>
    </row>
    <row r="132" spans="1:7" ht="14.25" customHeight="1" x14ac:dyDescent="0.3">
      <c r="A132" s="6" t="s">
        <v>518</v>
      </c>
      <c r="B132" s="3" t="s">
        <v>44</v>
      </c>
      <c r="C132" s="8">
        <v>8088</v>
      </c>
      <c r="D132" s="8">
        <v>742</v>
      </c>
      <c r="E132" s="8">
        <v>817407</v>
      </c>
      <c r="F132" s="3">
        <v>14.664542877660701</v>
      </c>
      <c r="G132" s="8">
        <v>39312</v>
      </c>
    </row>
    <row r="133" spans="1:7" ht="14.25" customHeight="1" x14ac:dyDescent="0.3">
      <c r="A133" s="6" t="s">
        <v>518</v>
      </c>
      <c r="B133" s="3" t="s">
        <v>541</v>
      </c>
      <c r="C133" s="8">
        <v>1078</v>
      </c>
      <c r="D133" s="8">
        <v>77</v>
      </c>
      <c r="E133" s="8">
        <v>818408</v>
      </c>
      <c r="F133" s="3">
        <v>18.236747441373989</v>
      </c>
      <c r="G133" s="8">
        <v>12839</v>
      </c>
    </row>
    <row r="134" spans="1:7" ht="14.25" customHeight="1" x14ac:dyDescent="0.3">
      <c r="A134" s="6" t="s">
        <v>519</v>
      </c>
      <c r="B134" s="3" t="s">
        <v>44</v>
      </c>
      <c r="C134" s="8">
        <v>9080</v>
      </c>
      <c r="D134" s="8">
        <v>562</v>
      </c>
      <c r="E134" s="8">
        <v>826926</v>
      </c>
      <c r="F134" s="3">
        <v>7.1083748727213809</v>
      </c>
      <c r="G134" s="8">
        <v>13384</v>
      </c>
    </row>
    <row r="135" spans="1:7" ht="14.25" customHeight="1" x14ac:dyDescent="0.3">
      <c r="A135" s="6" t="s">
        <v>519</v>
      </c>
      <c r="B135" s="3" t="s">
        <v>44</v>
      </c>
      <c r="C135" s="8">
        <v>8099</v>
      </c>
      <c r="D135" s="8">
        <v>678</v>
      </c>
      <c r="E135" s="8">
        <v>834347</v>
      </c>
      <c r="F135" s="3">
        <v>7.6464588474579518</v>
      </c>
      <c r="G135" s="8">
        <v>53619</v>
      </c>
    </row>
    <row r="136" spans="1:7" ht="14.25" customHeight="1" x14ac:dyDescent="0.3">
      <c r="A136" s="6" t="s">
        <v>519</v>
      </c>
      <c r="B136" s="3" t="s">
        <v>44</v>
      </c>
      <c r="C136" s="8">
        <v>4926</v>
      </c>
      <c r="D136" s="8">
        <v>710</v>
      </c>
      <c r="E136" s="8">
        <v>838563</v>
      </c>
      <c r="F136" s="3">
        <v>12.96217457722318</v>
      </c>
      <c r="G136" s="8">
        <v>52821</v>
      </c>
    </row>
    <row r="137" spans="1:7" ht="14.25" customHeight="1" x14ac:dyDescent="0.3">
      <c r="A137" s="6" t="s">
        <v>519</v>
      </c>
      <c r="B137" s="3" t="s">
        <v>541</v>
      </c>
      <c r="C137" s="8">
        <v>8340</v>
      </c>
      <c r="D137" s="8">
        <v>686</v>
      </c>
      <c r="E137" s="8">
        <v>846217</v>
      </c>
      <c r="F137" s="3">
        <v>7.201344336027284</v>
      </c>
      <c r="G137" s="8">
        <v>23493</v>
      </c>
    </row>
    <row r="138" spans="1:7" ht="14.25" customHeight="1" x14ac:dyDescent="0.3">
      <c r="A138" s="6" t="s">
        <v>179</v>
      </c>
      <c r="B138" s="3" t="s">
        <v>542</v>
      </c>
      <c r="C138" s="8">
        <v>8083</v>
      </c>
      <c r="D138" s="8">
        <v>823</v>
      </c>
      <c r="E138" s="8">
        <v>853477</v>
      </c>
      <c r="F138" s="3">
        <v>4.6300017457998282</v>
      </c>
      <c r="G138" s="8">
        <v>27069</v>
      </c>
    </row>
    <row r="139" spans="1:7" ht="14.25" customHeight="1" x14ac:dyDescent="0.3">
      <c r="A139" s="6" t="s">
        <v>179</v>
      </c>
      <c r="B139" s="3" t="s">
        <v>44</v>
      </c>
      <c r="C139" s="8">
        <v>7230</v>
      </c>
      <c r="D139" s="8">
        <v>869</v>
      </c>
      <c r="E139" s="8">
        <v>859838</v>
      </c>
      <c r="F139" s="3">
        <v>7.0117859410726204</v>
      </c>
      <c r="G139" s="8">
        <v>56907</v>
      </c>
    </row>
    <row r="140" spans="1:7" ht="14.25" customHeight="1" x14ac:dyDescent="0.3">
      <c r="A140" s="6" t="s">
        <v>179</v>
      </c>
      <c r="B140" s="3" t="s">
        <v>44</v>
      </c>
      <c r="C140" s="8">
        <v>5940</v>
      </c>
      <c r="D140" s="8">
        <v>512</v>
      </c>
      <c r="E140" s="8">
        <v>865266</v>
      </c>
      <c r="F140" s="3">
        <v>15.7972230504839</v>
      </c>
      <c r="G140" s="8">
        <v>17531</v>
      </c>
    </row>
    <row r="141" spans="1:7" ht="14.25" customHeight="1" x14ac:dyDescent="0.3">
      <c r="A141" s="6" t="s">
        <v>179</v>
      </c>
      <c r="B141" s="3" t="s">
        <v>21</v>
      </c>
      <c r="C141" s="8">
        <v>4271</v>
      </c>
      <c r="D141" s="8">
        <v>628</v>
      </c>
      <c r="E141" s="8">
        <v>868909</v>
      </c>
      <c r="F141" s="3">
        <v>11.124410036033691</v>
      </c>
      <c r="G141" s="8">
        <v>47051</v>
      </c>
    </row>
    <row r="142" spans="1:7" ht="14.25" customHeight="1" x14ac:dyDescent="0.3">
      <c r="A142" s="6" t="s">
        <v>520</v>
      </c>
      <c r="B142" s="3" t="s">
        <v>541</v>
      </c>
      <c r="C142" s="8">
        <v>4456</v>
      </c>
      <c r="D142" s="8">
        <v>651</v>
      </c>
      <c r="E142" s="8">
        <v>872714</v>
      </c>
      <c r="F142" s="3">
        <v>9.5052903929580594</v>
      </c>
      <c r="G142" s="8">
        <v>17736</v>
      </c>
    </row>
    <row r="143" spans="1:7" ht="14.25" customHeight="1" x14ac:dyDescent="0.3">
      <c r="A143" s="6" t="s">
        <v>520</v>
      </c>
      <c r="B143" s="3" t="s">
        <v>44</v>
      </c>
      <c r="C143" s="8">
        <v>8788</v>
      </c>
      <c r="D143" s="8">
        <v>660</v>
      </c>
      <c r="E143" s="8">
        <v>880842</v>
      </c>
      <c r="F143" s="3">
        <v>3.7175793161543158</v>
      </c>
      <c r="G143" s="8">
        <v>17710</v>
      </c>
    </row>
    <row r="144" spans="1:7" ht="14.25" customHeight="1" x14ac:dyDescent="0.3">
      <c r="A144" s="6" t="s">
        <v>520</v>
      </c>
      <c r="B144" s="3" t="s">
        <v>541</v>
      </c>
      <c r="C144" s="8">
        <v>9599</v>
      </c>
      <c r="D144" s="8">
        <v>957</v>
      </c>
      <c r="E144" s="8">
        <v>889484</v>
      </c>
      <c r="F144" s="3">
        <v>8.768004820772493</v>
      </c>
      <c r="G144" s="8">
        <v>11619</v>
      </c>
    </row>
    <row r="145" spans="1:7" ht="14.25" customHeight="1" x14ac:dyDescent="0.3">
      <c r="A145" s="6" t="s">
        <v>520</v>
      </c>
      <c r="B145" s="3" t="s">
        <v>44</v>
      </c>
      <c r="C145" s="8">
        <v>8650</v>
      </c>
      <c r="D145" s="8">
        <v>692</v>
      </c>
      <c r="E145" s="8">
        <v>897442</v>
      </c>
      <c r="F145" s="3">
        <v>7.6673478620345374</v>
      </c>
      <c r="G145" s="8">
        <v>23975</v>
      </c>
    </row>
    <row r="146" spans="1:7" ht="14.25" customHeight="1" x14ac:dyDescent="0.3">
      <c r="A146" s="6" t="s">
        <v>437</v>
      </c>
      <c r="B146" s="3" t="s">
        <v>542</v>
      </c>
      <c r="C146" s="8">
        <v>3711</v>
      </c>
      <c r="D146" s="8">
        <v>291</v>
      </c>
      <c r="E146" s="8">
        <v>900862</v>
      </c>
      <c r="F146" s="3">
        <v>14.24879726306582</v>
      </c>
      <c r="G146" s="8">
        <v>55603</v>
      </c>
    </row>
    <row r="147" spans="1:7" ht="14.25" customHeight="1" x14ac:dyDescent="0.3">
      <c r="A147" s="6" t="s">
        <v>437</v>
      </c>
      <c r="B147" s="3" t="s">
        <v>542</v>
      </c>
      <c r="C147" s="8">
        <v>2668</v>
      </c>
      <c r="D147" s="8">
        <v>143</v>
      </c>
      <c r="E147" s="8">
        <v>903387</v>
      </c>
      <c r="F147" s="3">
        <v>15.903372530266649</v>
      </c>
      <c r="G147" s="8">
        <v>33252</v>
      </c>
    </row>
    <row r="148" spans="1:7" ht="14.25" customHeight="1" x14ac:dyDescent="0.3">
      <c r="A148" s="6" t="s">
        <v>437</v>
      </c>
      <c r="B148" s="3" t="s">
        <v>44</v>
      </c>
      <c r="C148" s="8">
        <v>1147</v>
      </c>
      <c r="D148" s="8">
        <v>127</v>
      </c>
      <c r="E148" s="8">
        <v>904407</v>
      </c>
      <c r="F148" s="3">
        <v>1.3997016829812241</v>
      </c>
      <c r="G148" s="8">
        <v>25261</v>
      </c>
    </row>
    <row r="149" spans="1:7" ht="14.25" customHeight="1" x14ac:dyDescent="0.3">
      <c r="A149" s="6" t="s">
        <v>437</v>
      </c>
      <c r="B149" s="3" t="s">
        <v>542</v>
      </c>
      <c r="C149" s="8">
        <v>7420</v>
      </c>
      <c r="D149" s="8">
        <v>743</v>
      </c>
      <c r="E149" s="8">
        <v>911084</v>
      </c>
      <c r="F149" s="3">
        <v>10.593534734448189</v>
      </c>
      <c r="G149" s="8">
        <v>11431</v>
      </c>
    </row>
    <row r="150" spans="1:7" ht="14.25" customHeight="1" x14ac:dyDescent="0.3">
      <c r="A150" s="6" t="s">
        <v>99</v>
      </c>
      <c r="B150" s="3" t="s">
        <v>44</v>
      </c>
      <c r="C150" s="8">
        <v>1365</v>
      </c>
      <c r="D150" s="8">
        <v>75</v>
      </c>
      <c r="E150" s="8">
        <v>912374</v>
      </c>
      <c r="F150" s="3">
        <v>9.2688963078737441</v>
      </c>
      <c r="G150" s="8">
        <v>19067</v>
      </c>
    </row>
    <row r="151" spans="1:7" ht="14.25" customHeight="1" x14ac:dyDescent="0.3">
      <c r="A151" s="6" t="s">
        <v>99</v>
      </c>
      <c r="B151" s="3" t="s">
        <v>542</v>
      </c>
      <c r="C151" s="8">
        <v>5531</v>
      </c>
      <c r="D151" s="8">
        <v>430</v>
      </c>
      <c r="E151" s="8">
        <v>917475</v>
      </c>
      <c r="F151" s="3">
        <v>2.7289026948963189</v>
      </c>
      <c r="G151" s="8">
        <v>47481</v>
      </c>
    </row>
    <row r="152" spans="1:7" ht="14.25" customHeight="1" x14ac:dyDescent="0.3">
      <c r="A152" s="6" t="s">
        <v>99</v>
      </c>
      <c r="B152" s="3" t="s">
        <v>21</v>
      </c>
      <c r="C152" s="8">
        <v>6330</v>
      </c>
      <c r="D152" s="8">
        <v>891</v>
      </c>
      <c r="E152" s="8">
        <v>922914</v>
      </c>
      <c r="F152" s="3">
        <v>14.789893749580139</v>
      </c>
      <c r="G152" s="8">
        <v>37037</v>
      </c>
    </row>
    <row r="153" spans="1:7" ht="14.25" customHeight="1" x14ac:dyDescent="0.3">
      <c r="A153" s="6" t="s">
        <v>99</v>
      </c>
      <c r="B153" s="3" t="s">
        <v>21</v>
      </c>
      <c r="C153" s="8">
        <v>6510</v>
      </c>
      <c r="D153" s="8">
        <v>481</v>
      </c>
      <c r="E153" s="8">
        <v>928943</v>
      </c>
      <c r="F153" s="3">
        <v>2.3800168578696428</v>
      </c>
      <c r="G153" s="8">
        <v>19557</v>
      </c>
    </row>
    <row r="154" spans="1:7" ht="14.25" customHeight="1" x14ac:dyDescent="0.3">
      <c r="A154" s="6" t="s">
        <v>112</v>
      </c>
      <c r="B154" s="3" t="s">
        <v>21</v>
      </c>
      <c r="C154" s="8">
        <v>9754</v>
      </c>
      <c r="D154" s="8">
        <v>629</v>
      </c>
      <c r="E154" s="8">
        <v>938068</v>
      </c>
      <c r="F154" s="3">
        <v>3.4123325814333292</v>
      </c>
      <c r="G154" s="8">
        <v>19435</v>
      </c>
    </row>
    <row r="155" spans="1:7" ht="14.25" customHeight="1" x14ac:dyDescent="0.3">
      <c r="A155" s="6" t="s">
        <v>112</v>
      </c>
      <c r="B155" s="3" t="s">
        <v>541</v>
      </c>
      <c r="C155" s="8">
        <v>9964</v>
      </c>
      <c r="D155" s="8">
        <v>985</v>
      </c>
      <c r="E155" s="8">
        <v>947047</v>
      </c>
      <c r="F155" s="3">
        <v>1.9837452629066989</v>
      </c>
      <c r="G155" s="8">
        <v>47766</v>
      </c>
    </row>
    <row r="156" spans="1:7" ht="14.25" customHeight="1" x14ac:dyDescent="0.3">
      <c r="A156" s="6" t="s">
        <v>112</v>
      </c>
      <c r="B156" s="3" t="s">
        <v>541</v>
      </c>
      <c r="C156" s="8">
        <v>7493</v>
      </c>
      <c r="D156" s="8">
        <v>1113</v>
      </c>
      <c r="E156" s="8">
        <v>953427</v>
      </c>
      <c r="F156" s="3">
        <v>15.684892498324469</v>
      </c>
      <c r="G156" s="8">
        <v>10162</v>
      </c>
    </row>
    <row r="157" spans="1:7" ht="14.25" customHeight="1" x14ac:dyDescent="0.3">
      <c r="A157" s="6" t="s">
        <v>112</v>
      </c>
      <c r="B157" s="3" t="s">
        <v>21</v>
      </c>
      <c r="C157" s="8">
        <v>6439</v>
      </c>
      <c r="D157" s="8">
        <v>477</v>
      </c>
      <c r="E157" s="8">
        <v>959389</v>
      </c>
      <c r="F157" s="3">
        <v>7.4744446725989153</v>
      </c>
      <c r="G157" s="8">
        <v>44742</v>
      </c>
    </row>
    <row r="158" spans="1:7" ht="14.25" customHeight="1" x14ac:dyDescent="0.3">
      <c r="A158" s="6" t="s">
        <v>156</v>
      </c>
      <c r="B158" s="3" t="s">
        <v>541</v>
      </c>
      <c r="C158" s="8">
        <v>7511</v>
      </c>
      <c r="D158" s="8">
        <v>880</v>
      </c>
      <c r="E158" s="8">
        <v>966020</v>
      </c>
      <c r="F158" s="3">
        <v>4.6083932009689246</v>
      </c>
      <c r="G158" s="8">
        <v>29675</v>
      </c>
    </row>
    <row r="159" spans="1:7" ht="14.25" customHeight="1" x14ac:dyDescent="0.3">
      <c r="A159" s="6" t="s">
        <v>156</v>
      </c>
      <c r="B159" s="3" t="s">
        <v>542</v>
      </c>
      <c r="C159" s="8">
        <v>8504</v>
      </c>
      <c r="D159" s="8">
        <v>1072</v>
      </c>
      <c r="E159" s="8">
        <v>973452</v>
      </c>
      <c r="F159" s="3">
        <v>6.5651927367759271</v>
      </c>
      <c r="G159" s="8">
        <v>18461</v>
      </c>
    </row>
    <row r="160" spans="1:7" ht="14.25" customHeight="1" x14ac:dyDescent="0.3">
      <c r="A160" s="6" t="s">
        <v>156</v>
      </c>
      <c r="B160" s="3" t="s">
        <v>44</v>
      </c>
      <c r="C160" s="8">
        <v>2246</v>
      </c>
      <c r="D160" s="8">
        <v>165</v>
      </c>
      <c r="E160" s="8">
        <v>975533</v>
      </c>
      <c r="F160" s="3">
        <v>2.9062061457685191</v>
      </c>
      <c r="G160" s="8">
        <v>27015</v>
      </c>
    </row>
    <row r="161" spans="1:7" ht="14.25" customHeight="1" x14ac:dyDescent="0.3">
      <c r="A161" s="6" t="s">
        <v>156</v>
      </c>
      <c r="B161" s="3" t="s">
        <v>44</v>
      </c>
      <c r="C161" s="8">
        <v>4839</v>
      </c>
      <c r="D161" s="8">
        <v>594</v>
      </c>
      <c r="E161" s="8">
        <v>979778</v>
      </c>
      <c r="F161" s="3">
        <v>2.5803804535313102</v>
      </c>
      <c r="G161" s="8">
        <v>42591</v>
      </c>
    </row>
    <row r="162" spans="1:7" ht="14.25" customHeight="1" x14ac:dyDescent="0.3">
      <c r="A162" s="6" t="s">
        <v>521</v>
      </c>
      <c r="B162" s="3" t="s">
        <v>44</v>
      </c>
      <c r="C162" s="8">
        <v>9551</v>
      </c>
      <c r="D162" s="8">
        <v>828</v>
      </c>
      <c r="E162" s="8">
        <v>988501</v>
      </c>
      <c r="F162" s="3">
        <v>1.525036393488727</v>
      </c>
      <c r="G162" s="8">
        <v>38047</v>
      </c>
    </row>
    <row r="163" spans="1:7" ht="14.25" customHeight="1" x14ac:dyDescent="0.3">
      <c r="A163" s="6" t="s">
        <v>521</v>
      </c>
      <c r="B163" s="3" t="s">
        <v>21</v>
      </c>
      <c r="C163" s="8">
        <v>3376</v>
      </c>
      <c r="D163" s="8">
        <v>382</v>
      </c>
      <c r="E163" s="8">
        <v>991495</v>
      </c>
      <c r="F163" s="3">
        <v>3.8694093263203548</v>
      </c>
      <c r="G163" s="8">
        <v>44782</v>
      </c>
    </row>
    <row r="164" spans="1:7" ht="14.25" customHeight="1" x14ac:dyDescent="0.3">
      <c r="A164" s="6" t="s">
        <v>521</v>
      </c>
      <c r="B164" s="3" t="s">
        <v>541</v>
      </c>
      <c r="C164" s="8">
        <v>4009</v>
      </c>
      <c r="D164" s="8">
        <v>454</v>
      </c>
      <c r="E164" s="8">
        <v>995050</v>
      </c>
      <c r="F164" s="3">
        <v>2.1106477061454201</v>
      </c>
      <c r="G164" s="8">
        <v>19833</v>
      </c>
    </row>
    <row r="165" spans="1:7" ht="14.25" customHeight="1" x14ac:dyDescent="0.3">
      <c r="A165" s="6" t="s">
        <v>521</v>
      </c>
      <c r="B165" s="3" t="s">
        <v>542</v>
      </c>
      <c r="C165" s="8">
        <v>2827</v>
      </c>
      <c r="D165" s="8">
        <v>292</v>
      </c>
      <c r="E165" s="8">
        <v>997585</v>
      </c>
      <c r="F165" s="3">
        <v>2.4004972007397871</v>
      </c>
      <c r="G165" s="8">
        <v>17896</v>
      </c>
    </row>
    <row r="166" spans="1:7" ht="14.25" customHeight="1" x14ac:dyDescent="0.3">
      <c r="A166" s="6" t="s">
        <v>522</v>
      </c>
      <c r="B166" s="3" t="s">
        <v>542</v>
      </c>
      <c r="C166" s="8">
        <v>7979</v>
      </c>
      <c r="D166" s="8">
        <v>470</v>
      </c>
      <c r="E166" s="8">
        <v>1005094</v>
      </c>
      <c r="F166" s="3">
        <v>10.43086517280971</v>
      </c>
      <c r="G166" s="8">
        <v>42972</v>
      </c>
    </row>
    <row r="167" spans="1:7" ht="14.25" customHeight="1" x14ac:dyDescent="0.3">
      <c r="A167" s="6" t="s">
        <v>522</v>
      </c>
      <c r="B167" s="3" t="s">
        <v>21</v>
      </c>
      <c r="C167" s="8">
        <v>9569</v>
      </c>
      <c r="D167" s="8">
        <v>1277</v>
      </c>
      <c r="E167" s="8">
        <v>1013386</v>
      </c>
      <c r="F167" s="3">
        <v>12.45517502708741</v>
      </c>
      <c r="G167" s="8">
        <v>59733</v>
      </c>
    </row>
    <row r="168" spans="1:7" ht="14.25" customHeight="1" x14ac:dyDescent="0.3">
      <c r="A168" s="6" t="s">
        <v>522</v>
      </c>
      <c r="B168" s="3" t="s">
        <v>542</v>
      </c>
      <c r="C168" s="8">
        <v>5285</v>
      </c>
      <c r="D168" s="8">
        <v>433</v>
      </c>
      <c r="E168" s="8">
        <v>1018238</v>
      </c>
      <c r="F168" s="3">
        <v>8.7022876773406619</v>
      </c>
      <c r="G168" s="8">
        <v>51800</v>
      </c>
    </row>
    <row r="169" spans="1:7" ht="14.25" customHeight="1" x14ac:dyDescent="0.3">
      <c r="A169" s="6" t="s">
        <v>522</v>
      </c>
      <c r="B169" s="3" t="s">
        <v>542</v>
      </c>
      <c r="C169" s="8">
        <v>7910</v>
      </c>
      <c r="D169" s="8">
        <v>543</v>
      </c>
      <c r="E169" s="8">
        <v>1025605</v>
      </c>
      <c r="F169" s="3">
        <v>6.0590578244060822</v>
      </c>
      <c r="G169" s="8">
        <v>40508</v>
      </c>
    </row>
    <row r="170" spans="1:7" ht="14.25" customHeight="1" x14ac:dyDescent="0.3">
      <c r="A170" s="6" t="s">
        <v>338</v>
      </c>
      <c r="B170" s="3" t="s">
        <v>542</v>
      </c>
      <c r="C170" s="8">
        <v>9561</v>
      </c>
      <c r="D170" s="8">
        <v>517</v>
      </c>
      <c r="E170" s="8">
        <v>1034649</v>
      </c>
      <c r="F170" s="3">
        <v>6.4086467971263694</v>
      </c>
      <c r="G170" s="8">
        <v>15347</v>
      </c>
    </row>
    <row r="171" spans="1:7" ht="14.25" customHeight="1" x14ac:dyDescent="0.3">
      <c r="A171" s="6" t="s">
        <v>338</v>
      </c>
      <c r="B171" s="3" t="s">
        <v>542</v>
      </c>
      <c r="C171" s="8">
        <v>3196</v>
      </c>
      <c r="D171" s="8">
        <v>348</v>
      </c>
      <c r="E171" s="8">
        <v>1037497</v>
      </c>
      <c r="F171" s="3">
        <v>14.03040201562029</v>
      </c>
      <c r="G171" s="8">
        <v>40314</v>
      </c>
    </row>
    <row r="172" spans="1:7" ht="14.25" customHeight="1" x14ac:dyDescent="0.3">
      <c r="A172" s="6" t="s">
        <v>338</v>
      </c>
      <c r="B172" s="3" t="s">
        <v>541</v>
      </c>
      <c r="C172" s="8">
        <v>4747</v>
      </c>
      <c r="D172" s="8">
        <v>558</v>
      </c>
      <c r="E172" s="8">
        <v>1041686</v>
      </c>
      <c r="F172" s="3">
        <v>5.7680529449373434</v>
      </c>
      <c r="G172" s="8">
        <v>12643</v>
      </c>
    </row>
    <row r="173" spans="1:7" ht="14.25" customHeight="1" x14ac:dyDescent="0.3">
      <c r="A173" s="6" t="s">
        <v>338</v>
      </c>
      <c r="B173" s="3" t="s">
        <v>542</v>
      </c>
      <c r="C173" s="8">
        <v>9843</v>
      </c>
      <c r="D173" s="8">
        <v>508</v>
      </c>
      <c r="E173" s="8">
        <v>1051021</v>
      </c>
      <c r="F173" s="3">
        <v>4.2080986012648651</v>
      </c>
      <c r="G173" s="8">
        <v>50785</v>
      </c>
    </row>
    <row r="174" spans="1:7" ht="14.25" customHeight="1" x14ac:dyDescent="0.3">
      <c r="A174" s="6" t="s">
        <v>523</v>
      </c>
      <c r="B174" s="3" t="s">
        <v>44</v>
      </c>
      <c r="C174" s="8">
        <v>6978</v>
      </c>
      <c r="D174" s="8">
        <v>706</v>
      </c>
      <c r="E174" s="8">
        <v>1057293</v>
      </c>
      <c r="F174" s="3">
        <v>5.057443868445171</v>
      </c>
      <c r="G174" s="8">
        <v>28681</v>
      </c>
    </row>
    <row r="175" spans="1:7" ht="14.25" customHeight="1" x14ac:dyDescent="0.3">
      <c r="A175" s="6" t="s">
        <v>523</v>
      </c>
      <c r="B175" s="3" t="s">
        <v>21</v>
      </c>
      <c r="C175" s="8">
        <v>6607</v>
      </c>
      <c r="D175" s="8">
        <v>479</v>
      </c>
      <c r="E175" s="8">
        <v>1063421</v>
      </c>
      <c r="F175" s="3">
        <v>5.5892257158735816</v>
      </c>
      <c r="G175" s="8">
        <v>48328</v>
      </c>
    </row>
    <row r="176" spans="1:7" ht="14.25" customHeight="1" x14ac:dyDescent="0.3">
      <c r="A176" s="6" t="s">
        <v>523</v>
      </c>
      <c r="B176" s="3" t="s">
        <v>541</v>
      </c>
      <c r="C176" s="8">
        <v>1769</v>
      </c>
      <c r="D176" s="8">
        <v>202</v>
      </c>
      <c r="E176" s="8">
        <v>1064988</v>
      </c>
      <c r="F176" s="3">
        <v>6.5457075572682513</v>
      </c>
      <c r="G176" s="8">
        <v>25892</v>
      </c>
    </row>
    <row r="177" spans="1:7" ht="14.25" customHeight="1" x14ac:dyDescent="0.3">
      <c r="A177" s="6" t="s">
        <v>523</v>
      </c>
      <c r="B177" s="3" t="s">
        <v>542</v>
      </c>
      <c r="C177" s="8">
        <v>1780</v>
      </c>
      <c r="D177" s="8">
        <v>120</v>
      </c>
      <c r="E177" s="8">
        <v>1066648</v>
      </c>
      <c r="F177" s="3">
        <v>13.86474263299608</v>
      </c>
      <c r="G177" s="8">
        <v>57299</v>
      </c>
    </row>
    <row r="178" spans="1:7" ht="14.25" customHeight="1" x14ac:dyDescent="0.3">
      <c r="A178" s="6" t="s">
        <v>353</v>
      </c>
      <c r="B178" s="3" t="s">
        <v>541</v>
      </c>
      <c r="C178" s="8">
        <v>7303</v>
      </c>
      <c r="D178" s="8">
        <v>869</v>
      </c>
      <c r="E178" s="8">
        <v>1073082</v>
      </c>
      <c r="F178" s="3">
        <v>8.1237966902808925</v>
      </c>
      <c r="G178" s="8">
        <v>27073</v>
      </c>
    </row>
    <row r="179" spans="1:7" ht="14.25" customHeight="1" x14ac:dyDescent="0.3">
      <c r="A179" s="6" t="s">
        <v>353</v>
      </c>
      <c r="B179" s="3" t="s">
        <v>542</v>
      </c>
      <c r="C179" s="8">
        <v>4983</v>
      </c>
      <c r="D179" s="8">
        <v>441</v>
      </c>
      <c r="E179" s="8">
        <v>1077624</v>
      </c>
      <c r="F179" s="3">
        <v>6.8954477628560609</v>
      </c>
      <c r="G179" s="8">
        <v>46768</v>
      </c>
    </row>
    <row r="180" spans="1:7" ht="14.25" customHeight="1" x14ac:dyDescent="0.3">
      <c r="A180" s="6" t="s">
        <v>353</v>
      </c>
      <c r="B180" s="3" t="s">
        <v>44</v>
      </c>
      <c r="C180" s="8">
        <v>9714</v>
      </c>
      <c r="D180" s="8">
        <v>1395</v>
      </c>
      <c r="E180" s="8">
        <v>1085943</v>
      </c>
      <c r="F180" s="3">
        <v>5.2243073531483697</v>
      </c>
      <c r="G180" s="8">
        <v>40682</v>
      </c>
    </row>
    <row r="181" spans="1:7" ht="14.25" customHeight="1" x14ac:dyDescent="0.3">
      <c r="A181" s="6" t="s">
        <v>353</v>
      </c>
      <c r="B181" s="3" t="s">
        <v>21</v>
      </c>
      <c r="C181" s="8">
        <v>1521</v>
      </c>
      <c r="D181" s="8">
        <v>96</v>
      </c>
      <c r="E181" s="8">
        <v>1087368</v>
      </c>
      <c r="F181" s="3">
        <v>12.709772588488899</v>
      </c>
      <c r="G181" s="8">
        <v>42262</v>
      </c>
    </row>
    <row r="182" spans="1:7" ht="14.25" customHeight="1" x14ac:dyDescent="0.3">
      <c r="A182" s="6" t="s">
        <v>524</v>
      </c>
      <c r="B182" s="3" t="s">
        <v>542</v>
      </c>
      <c r="C182" s="8">
        <v>8569</v>
      </c>
      <c r="D182" s="8">
        <v>720</v>
      </c>
      <c r="E182" s="8">
        <v>1095217</v>
      </c>
      <c r="F182" s="3">
        <v>9.589697749395782</v>
      </c>
      <c r="G182" s="8">
        <v>41358</v>
      </c>
    </row>
    <row r="183" spans="1:7" ht="14.25" customHeight="1" x14ac:dyDescent="0.3">
      <c r="A183" s="6" t="s">
        <v>524</v>
      </c>
      <c r="B183" s="3" t="s">
        <v>542</v>
      </c>
      <c r="C183" s="8">
        <v>6784</v>
      </c>
      <c r="D183" s="8">
        <v>416</v>
      </c>
      <c r="E183" s="8">
        <v>1101585</v>
      </c>
      <c r="F183" s="3">
        <v>9.3041390360253633</v>
      </c>
      <c r="G183" s="8">
        <v>24289</v>
      </c>
    </row>
    <row r="184" spans="1:7" ht="14.25" customHeight="1" x14ac:dyDescent="0.3">
      <c r="A184" s="6" t="s">
        <v>524</v>
      </c>
      <c r="B184" s="3" t="s">
        <v>542</v>
      </c>
      <c r="C184" s="8">
        <v>5583</v>
      </c>
      <c r="D184" s="8">
        <v>795</v>
      </c>
      <c r="E184" s="8">
        <v>1106373</v>
      </c>
      <c r="F184" s="3">
        <v>12.21550055903389</v>
      </c>
      <c r="G184" s="8">
        <v>59823</v>
      </c>
    </row>
    <row r="185" spans="1:7" ht="14.25" customHeight="1" x14ac:dyDescent="0.3">
      <c r="A185" s="6" t="s">
        <v>524</v>
      </c>
      <c r="B185" s="3" t="s">
        <v>542</v>
      </c>
      <c r="C185" s="8">
        <v>6946</v>
      </c>
      <c r="D185" s="8">
        <v>956</v>
      </c>
      <c r="E185" s="8">
        <v>1112363</v>
      </c>
      <c r="F185" s="3">
        <v>1.64146056637986</v>
      </c>
      <c r="G185" s="8">
        <v>17927</v>
      </c>
    </row>
    <row r="186" spans="1:7" ht="14.25" customHeight="1" x14ac:dyDescent="0.3">
      <c r="A186" s="6" t="s">
        <v>525</v>
      </c>
      <c r="B186" s="3" t="s">
        <v>21</v>
      </c>
      <c r="C186" s="8">
        <v>5941</v>
      </c>
      <c r="D186" s="8">
        <v>450</v>
      </c>
      <c r="E186" s="8">
        <v>1117854</v>
      </c>
      <c r="F186" s="3">
        <v>12.414411899944</v>
      </c>
      <c r="G186" s="8">
        <v>58330</v>
      </c>
    </row>
    <row r="187" spans="1:7" ht="14.25" customHeight="1" x14ac:dyDescent="0.3">
      <c r="A187" s="6" t="s">
        <v>525</v>
      </c>
      <c r="B187" s="3" t="s">
        <v>21</v>
      </c>
      <c r="C187" s="8">
        <v>7267</v>
      </c>
      <c r="D187" s="8">
        <v>842</v>
      </c>
      <c r="E187" s="8">
        <v>1124279</v>
      </c>
      <c r="F187" s="3">
        <v>2.2102165031989389</v>
      </c>
      <c r="G187" s="8">
        <v>11171</v>
      </c>
    </row>
    <row r="188" spans="1:7" ht="14.25" customHeight="1" x14ac:dyDescent="0.3">
      <c r="A188" s="6" t="s">
        <v>525</v>
      </c>
      <c r="B188" s="3" t="s">
        <v>44</v>
      </c>
      <c r="C188" s="8">
        <v>8128</v>
      </c>
      <c r="D188" s="8">
        <v>1070</v>
      </c>
      <c r="E188" s="8">
        <v>1131337</v>
      </c>
      <c r="F188" s="3">
        <v>8.1114645768679008</v>
      </c>
      <c r="G188" s="8">
        <v>21918</v>
      </c>
    </row>
    <row r="189" spans="1:7" ht="14.25" customHeight="1" x14ac:dyDescent="0.3">
      <c r="A189" s="6" t="s">
        <v>525</v>
      </c>
      <c r="B189" s="3" t="s">
        <v>21</v>
      </c>
      <c r="C189" s="8">
        <v>3461</v>
      </c>
      <c r="D189" s="8">
        <v>365</v>
      </c>
      <c r="E189" s="8">
        <v>1134433</v>
      </c>
      <c r="F189" s="3">
        <v>10.23489267325616</v>
      </c>
      <c r="G189" s="8">
        <v>51903</v>
      </c>
    </row>
    <row r="190" spans="1:7" ht="14.25" customHeight="1" x14ac:dyDescent="0.3">
      <c r="A190" s="6" t="s">
        <v>311</v>
      </c>
      <c r="B190" s="3" t="s">
        <v>542</v>
      </c>
      <c r="C190" s="8">
        <v>1685</v>
      </c>
      <c r="D190" s="8">
        <v>173</v>
      </c>
      <c r="E190" s="8">
        <v>1135945</v>
      </c>
      <c r="F190" s="3">
        <v>8.7776256772995165</v>
      </c>
      <c r="G190" s="8">
        <v>49110</v>
      </c>
    </row>
    <row r="191" spans="1:7" ht="14.25" customHeight="1" x14ac:dyDescent="0.3">
      <c r="A191" s="6" t="s">
        <v>311</v>
      </c>
      <c r="B191" s="3" t="s">
        <v>44</v>
      </c>
      <c r="C191" s="8">
        <v>3160</v>
      </c>
      <c r="D191" s="8">
        <v>234</v>
      </c>
      <c r="E191" s="8">
        <v>1138871</v>
      </c>
      <c r="F191" s="3">
        <v>5.6959041015180816</v>
      </c>
      <c r="G191" s="8">
        <v>21929</v>
      </c>
    </row>
    <row r="192" spans="1:7" ht="14.25" customHeight="1" x14ac:dyDescent="0.3">
      <c r="A192" s="6" t="s">
        <v>311</v>
      </c>
      <c r="B192" s="3" t="s">
        <v>44</v>
      </c>
      <c r="C192" s="8">
        <v>8031</v>
      </c>
      <c r="D192" s="8">
        <v>476</v>
      </c>
      <c r="E192" s="8">
        <v>1146426</v>
      </c>
      <c r="F192" s="3">
        <v>11.940413075069831</v>
      </c>
      <c r="G192" s="8">
        <v>12539</v>
      </c>
    </row>
    <row r="193" spans="1:7" ht="14.25" customHeight="1" x14ac:dyDescent="0.3">
      <c r="A193" s="6" t="s">
        <v>311</v>
      </c>
      <c r="B193" s="3" t="s">
        <v>44</v>
      </c>
      <c r="C193" s="8">
        <v>6341</v>
      </c>
      <c r="D193" s="8">
        <v>885</v>
      </c>
      <c r="E193" s="8">
        <v>1151882</v>
      </c>
      <c r="F193" s="3">
        <v>6.3457020771224837</v>
      </c>
      <c r="G193" s="8">
        <v>46727</v>
      </c>
    </row>
    <row r="194" spans="1:7" ht="14.25" customHeight="1" x14ac:dyDescent="0.3">
      <c r="A194" s="6" t="s">
        <v>59</v>
      </c>
      <c r="B194" s="3" t="s">
        <v>542</v>
      </c>
      <c r="C194" s="8">
        <v>1038</v>
      </c>
      <c r="D194" s="8">
        <v>145</v>
      </c>
      <c r="E194" s="8">
        <v>1152775</v>
      </c>
      <c r="F194" s="3">
        <v>11.093752033137431</v>
      </c>
      <c r="G194" s="8">
        <v>55951</v>
      </c>
    </row>
    <row r="195" spans="1:7" ht="14.25" customHeight="1" x14ac:dyDescent="0.3">
      <c r="A195" s="6" t="s">
        <v>59</v>
      </c>
      <c r="B195" s="3" t="s">
        <v>541</v>
      </c>
      <c r="C195" s="8">
        <v>5875</v>
      </c>
      <c r="D195" s="8">
        <v>665</v>
      </c>
      <c r="E195" s="8">
        <v>1157985</v>
      </c>
      <c r="F195" s="3">
        <v>6.9871371390821126</v>
      </c>
      <c r="G195" s="8">
        <v>32669</v>
      </c>
    </row>
    <row r="196" spans="1:7" ht="14.25" customHeight="1" x14ac:dyDescent="0.3">
      <c r="A196" s="6" t="s">
        <v>59</v>
      </c>
      <c r="B196" s="3" t="s">
        <v>542</v>
      </c>
      <c r="C196" s="8">
        <v>2256</v>
      </c>
      <c r="D196" s="8">
        <v>189</v>
      </c>
      <c r="E196" s="8">
        <v>1160052</v>
      </c>
      <c r="F196" s="3">
        <v>2.8935771844710412</v>
      </c>
      <c r="G196" s="8">
        <v>15432</v>
      </c>
    </row>
    <row r="197" spans="1:7" ht="14.25" customHeight="1" x14ac:dyDescent="0.3">
      <c r="A197" s="6" t="s">
        <v>59</v>
      </c>
      <c r="B197" s="3" t="s">
        <v>21</v>
      </c>
      <c r="C197" s="8">
        <v>8697</v>
      </c>
      <c r="D197" s="8">
        <v>738</v>
      </c>
      <c r="E197" s="8">
        <v>1168011</v>
      </c>
      <c r="F197" s="3">
        <v>3.8777032065622672</v>
      </c>
      <c r="G197" s="8">
        <v>30644</v>
      </c>
    </row>
    <row r="198" spans="1:7" ht="14.25" customHeight="1" x14ac:dyDescent="0.3">
      <c r="A198" s="6" t="s">
        <v>22</v>
      </c>
      <c r="B198" s="3" t="s">
        <v>21</v>
      </c>
      <c r="C198" s="8">
        <v>3196</v>
      </c>
      <c r="D198" s="8">
        <v>391</v>
      </c>
      <c r="E198" s="8">
        <v>1170816</v>
      </c>
      <c r="F198" s="3">
        <v>7.2439221876024931</v>
      </c>
      <c r="G198" s="8">
        <v>28745</v>
      </c>
    </row>
    <row r="199" spans="1:7" ht="14.25" customHeight="1" x14ac:dyDescent="0.3">
      <c r="A199" s="6" t="s">
        <v>22</v>
      </c>
      <c r="B199" s="3" t="s">
        <v>542</v>
      </c>
      <c r="C199" s="8">
        <v>8165</v>
      </c>
      <c r="D199" s="8">
        <v>1140</v>
      </c>
      <c r="E199" s="8">
        <v>1177841</v>
      </c>
      <c r="F199" s="3">
        <v>9.095964565675672</v>
      </c>
      <c r="G199" s="8">
        <v>38228</v>
      </c>
    </row>
    <row r="200" spans="1:7" ht="14.25" customHeight="1" x14ac:dyDescent="0.3">
      <c r="A200" s="6" t="s">
        <v>22</v>
      </c>
      <c r="B200" s="3" t="s">
        <v>542</v>
      </c>
      <c r="C200" s="8">
        <v>1301</v>
      </c>
      <c r="D200" s="8">
        <v>180</v>
      </c>
      <c r="E200" s="8">
        <v>1178962</v>
      </c>
      <c r="F200" s="3">
        <v>5.2275645864752214</v>
      </c>
      <c r="G200" s="8">
        <v>44521</v>
      </c>
    </row>
    <row r="201" spans="1:7" ht="14.25" customHeight="1" x14ac:dyDescent="0.3">
      <c r="A201" s="6" t="s">
        <v>22</v>
      </c>
      <c r="B201" s="3" t="s">
        <v>44</v>
      </c>
      <c r="C201" s="8">
        <v>8527</v>
      </c>
      <c r="D201" s="8">
        <v>1091</v>
      </c>
      <c r="E201" s="8">
        <v>1186398</v>
      </c>
      <c r="F201" s="3">
        <v>1.676081719625286</v>
      </c>
      <c r="G201" s="8">
        <v>41703</v>
      </c>
    </row>
    <row r="202" spans="1:7" ht="14.25" customHeight="1" x14ac:dyDescent="0.3">
      <c r="A202" s="4"/>
    </row>
    <row r="203" spans="1:7" ht="14.25" customHeight="1" x14ac:dyDescent="0.3">
      <c r="A203" s="4"/>
    </row>
    <row r="204" spans="1:7" ht="14.25" customHeight="1" x14ac:dyDescent="0.3">
      <c r="A204" s="4"/>
    </row>
    <row r="205" spans="1:7" ht="14.25" customHeight="1" x14ac:dyDescent="0.3">
      <c r="A205" s="4"/>
    </row>
    <row r="206" spans="1:7" ht="14.25" customHeight="1" x14ac:dyDescent="0.3">
      <c r="A206" s="4"/>
    </row>
    <row r="207" spans="1:7" ht="14.25" customHeight="1" x14ac:dyDescent="0.3">
      <c r="A207" s="4"/>
    </row>
    <row r="208" spans="1:7" ht="14.25" customHeight="1" x14ac:dyDescent="0.3">
      <c r="A208" s="4"/>
    </row>
    <row r="209" spans="1:1" ht="14.25" customHeight="1" x14ac:dyDescent="0.3">
      <c r="A209" s="4"/>
    </row>
    <row r="210" spans="1:1" ht="14.25" customHeight="1" x14ac:dyDescent="0.3">
      <c r="A210" s="4"/>
    </row>
    <row r="211" spans="1:1" ht="14.25" customHeight="1" x14ac:dyDescent="0.3">
      <c r="A211" s="4"/>
    </row>
    <row r="212" spans="1:1" ht="14.25" customHeight="1" x14ac:dyDescent="0.3">
      <c r="A212" s="4"/>
    </row>
    <row r="213" spans="1:1" ht="14.25" customHeight="1" x14ac:dyDescent="0.3">
      <c r="A213" s="4"/>
    </row>
    <row r="214" spans="1:1" ht="14.25" customHeight="1" x14ac:dyDescent="0.3">
      <c r="A214" s="4"/>
    </row>
    <row r="215" spans="1:1" ht="14.25" customHeight="1" x14ac:dyDescent="0.3">
      <c r="A215" s="4"/>
    </row>
    <row r="216" spans="1:1" ht="14.25" customHeight="1" x14ac:dyDescent="0.3">
      <c r="A216" s="4"/>
    </row>
    <row r="217" spans="1:1" ht="14.25" customHeight="1" x14ac:dyDescent="0.3">
      <c r="A217" s="4"/>
    </row>
    <row r="218" spans="1:1" ht="14.25" customHeight="1" x14ac:dyDescent="0.3">
      <c r="A218" s="4"/>
    </row>
    <row r="219" spans="1:1" ht="14.25" customHeight="1" x14ac:dyDescent="0.3">
      <c r="A219" s="4"/>
    </row>
    <row r="220" spans="1:1" ht="14.25" customHeight="1" x14ac:dyDescent="0.3">
      <c r="A220" s="4"/>
    </row>
    <row r="221" spans="1:1" ht="14.25" customHeight="1" x14ac:dyDescent="0.3">
      <c r="A221" s="4"/>
    </row>
    <row r="222" spans="1:1" ht="14.25" customHeight="1" x14ac:dyDescent="0.3">
      <c r="A222" s="4"/>
    </row>
    <row r="223" spans="1:1" ht="14.25" customHeight="1" x14ac:dyDescent="0.3">
      <c r="A223" s="4"/>
    </row>
    <row r="224" spans="1:1" ht="14.25" customHeight="1" x14ac:dyDescent="0.3">
      <c r="A224" s="4"/>
    </row>
    <row r="225" spans="1:1" ht="14.25" customHeight="1" x14ac:dyDescent="0.3">
      <c r="A225" s="4"/>
    </row>
    <row r="226" spans="1:1" ht="14.25" customHeight="1" x14ac:dyDescent="0.3">
      <c r="A226" s="4"/>
    </row>
    <row r="227" spans="1:1" ht="14.25" customHeight="1" x14ac:dyDescent="0.3">
      <c r="A227" s="4"/>
    </row>
    <row r="228" spans="1:1" ht="14.25" customHeight="1" x14ac:dyDescent="0.3">
      <c r="A228" s="4"/>
    </row>
    <row r="229" spans="1:1" ht="14.25" customHeight="1" x14ac:dyDescent="0.3">
      <c r="A229" s="4"/>
    </row>
    <row r="230" spans="1:1" ht="14.25" customHeight="1" x14ac:dyDescent="0.3">
      <c r="A230" s="4"/>
    </row>
    <row r="231" spans="1:1" ht="14.25" customHeight="1" x14ac:dyDescent="0.3">
      <c r="A231" s="4"/>
    </row>
    <row r="232" spans="1:1" ht="14.25" customHeight="1" x14ac:dyDescent="0.3">
      <c r="A232" s="4"/>
    </row>
    <row r="233" spans="1:1" ht="14.25" customHeight="1" x14ac:dyDescent="0.3">
      <c r="A233" s="4"/>
    </row>
    <row r="234" spans="1:1" ht="14.25" customHeight="1" x14ac:dyDescent="0.3">
      <c r="A234" s="4"/>
    </row>
    <row r="235" spans="1:1" ht="14.25" customHeight="1" x14ac:dyDescent="0.3">
      <c r="A235" s="5"/>
    </row>
    <row r="236" spans="1:1" ht="14.25" customHeight="1" x14ac:dyDescent="0.3">
      <c r="A236" s="5"/>
    </row>
    <row r="237" spans="1:1" ht="14.25" customHeight="1" x14ac:dyDescent="0.3">
      <c r="A237" s="5"/>
    </row>
    <row r="238" spans="1:1" ht="14.25" customHeight="1" x14ac:dyDescent="0.3">
      <c r="A238" s="5"/>
    </row>
    <row r="239" spans="1:1" ht="14.25" customHeight="1" x14ac:dyDescent="0.3">
      <c r="A239" s="5"/>
    </row>
    <row r="240" spans="1:1" ht="14.25" customHeight="1" x14ac:dyDescent="0.3">
      <c r="A240" s="5"/>
    </row>
    <row r="241" spans="1:1" ht="14.25" customHeight="1" x14ac:dyDescent="0.3">
      <c r="A241" s="5"/>
    </row>
    <row r="242" spans="1:1" ht="14.25" customHeight="1" x14ac:dyDescent="0.3">
      <c r="A242" s="5"/>
    </row>
    <row r="243" spans="1:1" ht="14.25" customHeight="1" x14ac:dyDescent="0.3">
      <c r="A243" s="5"/>
    </row>
    <row r="244" spans="1:1" ht="14.25" customHeight="1" x14ac:dyDescent="0.3">
      <c r="A244" s="5"/>
    </row>
    <row r="245" spans="1:1" ht="14.25" customHeight="1" x14ac:dyDescent="0.3">
      <c r="A245" s="5"/>
    </row>
    <row r="246" spans="1:1" ht="14.25" customHeight="1" x14ac:dyDescent="0.3">
      <c r="A246" s="5"/>
    </row>
    <row r="247" spans="1:1" ht="14.25" customHeight="1" x14ac:dyDescent="0.3">
      <c r="A247" s="5"/>
    </row>
    <row r="248" spans="1:1" ht="14.25" customHeight="1" x14ac:dyDescent="0.3">
      <c r="A248" s="5"/>
    </row>
    <row r="249" spans="1:1" ht="14.25" customHeight="1" x14ac:dyDescent="0.3">
      <c r="A249" s="5"/>
    </row>
    <row r="250" spans="1:1" ht="14.25" customHeight="1" x14ac:dyDescent="0.3">
      <c r="A250" s="5"/>
    </row>
    <row r="251" spans="1:1" ht="14.25" customHeight="1" x14ac:dyDescent="0.3">
      <c r="A251" s="5"/>
    </row>
    <row r="252" spans="1:1" ht="14.25" customHeight="1" x14ac:dyDescent="0.3"/>
    <row r="253" spans="1:1" ht="14.25" customHeight="1" x14ac:dyDescent="0.3"/>
    <row r="254" spans="1:1" ht="14.25" customHeight="1" x14ac:dyDescent="0.3"/>
    <row r="255" spans="1:1" ht="14.25" customHeight="1" x14ac:dyDescent="0.3"/>
    <row r="256" spans="1:1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D3EA8-6D4A-4E65-8E49-2A3A80B28FB2}">
  <dimension ref="A1:AB201"/>
  <sheetViews>
    <sheetView tabSelected="1" topLeftCell="H1" workbookViewId="0">
      <selection activeCell="N12" sqref="N12"/>
    </sheetView>
  </sheetViews>
  <sheetFormatPr defaultRowHeight="14.4" x14ac:dyDescent="0.3"/>
  <cols>
    <col min="1" max="1" width="15.77734375" bestFit="1" customWidth="1"/>
    <col min="2" max="2" width="9.109375" bestFit="1" customWidth="1"/>
    <col min="3" max="3" width="13.77734375" bestFit="1" customWidth="1"/>
    <col min="4" max="4" width="9.44140625" bestFit="1" customWidth="1"/>
    <col min="5" max="5" width="14.21875" bestFit="1" customWidth="1"/>
    <col min="6" max="6" width="18.21875" customWidth="1"/>
    <col min="7" max="7" width="22.6640625" bestFit="1" customWidth="1"/>
    <col min="8" max="8" width="22.33203125" customWidth="1"/>
    <col min="9" max="9" width="16.44140625" bestFit="1" customWidth="1"/>
    <col min="10" max="10" width="9.6640625" bestFit="1" customWidth="1"/>
    <col min="12" max="12" width="12.5546875" bestFit="1" customWidth="1"/>
    <col min="13" max="13" width="29.5546875" bestFit="1" customWidth="1"/>
    <col min="14" max="14" width="7.88671875" customWidth="1"/>
    <col min="15" max="15" width="23" bestFit="1" customWidth="1"/>
    <col min="18" max="18" width="23" bestFit="1" customWidth="1"/>
  </cols>
  <sheetData>
    <row r="1" spans="1:15" x14ac:dyDescent="0.3">
      <c r="A1" s="25" t="s">
        <v>502</v>
      </c>
      <c r="B1" s="25" t="s">
        <v>1</v>
      </c>
      <c r="C1" s="25" t="s">
        <v>503</v>
      </c>
      <c r="D1" s="25" t="s">
        <v>504</v>
      </c>
      <c r="E1" s="32" t="s">
        <v>505</v>
      </c>
      <c r="F1" s="33" t="s">
        <v>575</v>
      </c>
      <c r="G1" s="33" t="s">
        <v>576</v>
      </c>
      <c r="H1" s="34" t="s">
        <v>577</v>
      </c>
      <c r="I1" s="10" t="s">
        <v>506</v>
      </c>
      <c r="J1" s="1" t="s">
        <v>507</v>
      </c>
      <c r="L1" s="13" t="s">
        <v>562</v>
      </c>
      <c r="M1" t="s">
        <v>578</v>
      </c>
      <c r="O1" s="26"/>
    </row>
    <row r="2" spans="1:15" x14ac:dyDescent="0.3">
      <c r="A2" s="6" t="s">
        <v>186</v>
      </c>
      <c r="B2" s="3" t="s">
        <v>21</v>
      </c>
      <c r="C2" s="8">
        <v>4138</v>
      </c>
      <c r="D2" s="8">
        <v>361</v>
      </c>
      <c r="E2" s="8">
        <v>103777</v>
      </c>
      <c r="F2" s="30">
        <f>C2 -D2</f>
        <v>3777</v>
      </c>
      <c r="G2" s="30">
        <f>E2 -F2</f>
        <v>100000</v>
      </c>
      <c r="H2" s="31">
        <f>(F2/G2)*100</f>
        <v>3.7769999999999997</v>
      </c>
      <c r="I2" s="3">
        <v>56.637790647253247</v>
      </c>
      <c r="J2" s="8">
        <v>23944</v>
      </c>
      <c r="L2" s="27" t="s">
        <v>186</v>
      </c>
      <c r="M2" s="28">
        <v>6.2096646178114687</v>
      </c>
      <c r="N2" s="28"/>
      <c r="O2" s="28"/>
    </row>
    <row r="3" spans="1:15" x14ac:dyDescent="0.3">
      <c r="A3" s="6" t="s">
        <v>186</v>
      </c>
      <c r="B3" s="3" t="s">
        <v>44</v>
      </c>
      <c r="C3" s="8">
        <v>8693</v>
      </c>
      <c r="D3" s="8">
        <v>1261</v>
      </c>
      <c r="E3" s="8">
        <v>111209</v>
      </c>
      <c r="F3" s="30">
        <f t="shared" ref="F3:F66" si="0">C3 -D3</f>
        <v>7432</v>
      </c>
      <c r="G3" s="30">
        <f t="shared" ref="G3:G66" si="1">E3 -F3</f>
        <v>103777</v>
      </c>
      <c r="H3" s="31">
        <f t="shared" ref="H3:H66" si="2">(F3/G3)*100</f>
        <v>7.161509775769197</v>
      </c>
      <c r="I3" s="3">
        <v>69.475492091467416</v>
      </c>
      <c r="J3" s="8">
        <v>29873</v>
      </c>
      <c r="L3" s="27" t="s">
        <v>199</v>
      </c>
      <c r="M3" s="28">
        <v>4.2629784472176144</v>
      </c>
      <c r="N3" s="28"/>
      <c r="O3" s="28"/>
    </row>
    <row r="4" spans="1:15" x14ac:dyDescent="0.3">
      <c r="A4" s="6" t="s">
        <v>186</v>
      </c>
      <c r="B4" s="3" t="s">
        <v>541</v>
      </c>
      <c r="C4" s="8">
        <v>9264</v>
      </c>
      <c r="D4" s="8">
        <v>1141</v>
      </c>
      <c r="E4" s="8">
        <v>119332</v>
      </c>
      <c r="F4" s="30">
        <f t="shared" si="0"/>
        <v>8123</v>
      </c>
      <c r="G4" s="30">
        <f t="shared" si="1"/>
        <v>111209</v>
      </c>
      <c r="H4" s="31">
        <f t="shared" si="2"/>
        <v>7.3042649425855828</v>
      </c>
      <c r="I4" s="3">
        <v>92.312204605638044</v>
      </c>
      <c r="J4" s="8">
        <v>50372</v>
      </c>
      <c r="L4" s="27" t="s">
        <v>124</v>
      </c>
      <c r="M4" s="28">
        <v>4.0618397724932649</v>
      </c>
      <c r="N4" s="28"/>
      <c r="O4" s="28"/>
    </row>
    <row r="5" spans="1:15" x14ac:dyDescent="0.3">
      <c r="A5" s="6" t="s">
        <v>186</v>
      </c>
      <c r="B5" s="3" t="s">
        <v>541</v>
      </c>
      <c r="C5" s="8">
        <v>8842</v>
      </c>
      <c r="D5" s="8">
        <v>971</v>
      </c>
      <c r="E5" s="8">
        <v>127203</v>
      </c>
      <c r="F5" s="30">
        <f t="shared" si="0"/>
        <v>7871</v>
      </c>
      <c r="G5" s="30">
        <f t="shared" si="1"/>
        <v>119332</v>
      </c>
      <c r="H5" s="31">
        <f t="shared" si="2"/>
        <v>6.5958837528910932</v>
      </c>
      <c r="I5" s="3">
        <v>16.351815601833291</v>
      </c>
      <c r="J5" s="8">
        <v>33928</v>
      </c>
      <c r="L5" s="27" t="s">
        <v>35</v>
      </c>
      <c r="M5" s="28">
        <v>3.8389884450241016</v>
      </c>
      <c r="N5" s="28"/>
      <c r="O5" s="28"/>
    </row>
    <row r="6" spans="1:15" x14ac:dyDescent="0.3">
      <c r="A6" s="6" t="s">
        <v>199</v>
      </c>
      <c r="B6" s="3" t="s">
        <v>21</v>
      </c>
      <c r="C6" s="8">
        <v>7721</v>
      </c>
      <c r="D6" s="8">
        <v>506</v>
      </c>
      <c r="E6" s="8">
        <v>134418</v>
      </c>
      <c r="F6" s="30">
        <f t="shared" si="0"/>
        <v>7215</v>
      </c>
      <c r="G6" s="30">
        <f t="shared" si="1"/>
        <v>127203</v>
      </c>
      <c r="H6" s="31">
        <f t="shared" si="2"/>
        <v>5.6720360368859222</v>
      </c>
      <c r="I6" s="3">
        <v>35.577824398518047</v>
      </c>
      <c r="J6" s="8">
        <v>25379</v>
      </c>
      <c r="L6" s="27" t="s">
        <v>393</v>
      </c>
      <c r="M6" s="28">
        <v>2.3435761786273401</v>
      </c>
      <c r="N6" s="28"/>
      <c r="O6" s="28"/>
    </row>
    <row r="7" spans="1:15" x14ac:dyDescent="0.3">
      <c r="A7" s="6" t="s">
        <v>199</v>
      </c>
      <c r="B7" s="3" t="s">
        <v>541</v>
      </c>
      <c r="C7" s="8">
        <v>8002</v>
      </c>
      <c r="D7" s="8">
        <v>524</v>
      </c>
      <c r="E7" s="8">
        <v>141896</v>
      </c>
      <c r="F7" s="30">
        <f t="shared" si="0"/>
        <v>7478</v>
      </c>
      <c r="G7" s="30">
        <f t="shared" si="1"/>
        <v>134418</v>
      </c>
      <c r="H7" s="31">
        <f t="shared" si="2"/>
        <v>5.563243018048178</v>
      </c>
      <c r="I7" s="3">
        <v>52.0648925973953</v>
      </c>
      <c r="J7" s="8">
        <v>46751</v>
      </c>
      <c r="L7" s="27" t="s">
        <v>508</v>
      </c>
      <c r="M7" s="28">
        <v>2.0055798856722129</v>
      </c>
      <c r="N7" s="28"/>
      <c r="O7" s="28"/>
    </row>
    <row r="8" spans="1:15" x14ac:dyDescent="0.3">
      <c r="A8" s="6" t="s">
        <v>199</v>
      </c>
      <c r="B8" s="3" t="s">
        <v>44</v>
      </c>
      <c r="C8" s="8">
        <v>5225</v>
      </c>
      <c r="D8" s="8">
        <v>291</v>
      </c>
      <c r="E8" s="8">
        <v>146830</v>
      </c>
      <c r="F8" s="30">
        <f t="shared" si="0"/>
        <v>4934</v>
      </c>
      <c r="G8" s="30">
        <f t="shared" si="1"/>
        <v>141896</v>
      </c>
      <c r="H8" s="31">
        <f t="shared" si="2"/>
        <v>3.4771945650335456</v>
      </c>
      <c r="I8" s="3">
        <v>19.551862698358651</v>
      </c>
      <c r="J8" s="8">
        <v>44546</v>
      </c>
      <c r="L8" s="27" t="s">
        <v>264</v>
      </c>
      <c r="M8" s="28">
        <v>1.4020063064086588</v>
      </c>
      <c r="N8" s="28"/>
      <c r="O8" s="28"/>
    </row>
    <row r="9" spans="1:15" x14ac:dyDescent="0.3">
      <c r="A9" s="6" t="s">
        <v>199</v>
      </c>
      <c r="B9" s="3" t="s">
        <v>44</v>
      </c>
      <c r="C9" s="8">
        <v>3978</v>
      </c>
      <c r="D9" s="8">
        <v>543</v>
      </c>
      <c r="E9" s="8">
        <v>150265</v>
      </c>
      <c r="F9" s="30">
        <f t="shared" si="0"/>
        <v>3435</v>
      </c>
      <c r="G9" s="30">
        <f t="shared" si="1"/>
        <v>146830</v>
      </c>
      <c r="H9" s="31">
        <f t="shared" si="2"/>
        <v>2.3394401689028128</v>
      </c>
      <c r="I9" s="3">
        <v>49.159817655475329</v>
      </c>
      <c r="J9" s="8">
        <v>34286</v>
      </c>
      <c r="L9" s="27" t="s">
        <v>509</v>
      </c>
      <c r="M9" s="28">
        <v>2.9960110329203515</v>
      </c>
      <c r="N9" s="28"/>
      <c r="O9" s="28"/>
    </row>
    <row r="10" spans="1:15" x14ac:dyDescent="0.3">
      <c r="A10" s="6" t="s">
        <v>124</v>
      </c>
      <c r="B10" s="3" t="s">
        <v>21</v>
      </c>
      <c r="C10" s="8">
        <v>8373</v>
      </c>
      <c r="D10" s="8">
        <v>921</v>
      </c>
      <c r="E10" s="8">
        <v>157717</v>
      </c>
      <c r="F10" s="30">
        <f t="shared" si="0"/>
        <v>7452</v>
      </c>
      <c r="G10" s="30">
        <f t="shared" si="1"/>
        <v>150265</v>
      </c>
      <c r="H10" s="31">
        <f t="shared" si="2"/>
        <v>4.9592386783349411</v>
      </c>
      <c r="I10" s="3">
        <v>12.2263294381709</v>
      </c>
      <c r="J10" s="8">
        <v>15110</v>
      </c>
      <c r="L10" s="27" t="s">
        <v>219</v>
      </c>
      <c r="M10" s="28">
        <v>1.441320156245453</v>
      </c>
      <c r="N10" s="28"/>
      <c r="O10" s="28"/>
    </row>
    <row r="11" spans="1:15" x14ac:dyDescent="0.3">
      <c r="A11" s="6" t="s">
        <v>124</v>
      </c>
      <c r="B11" s="3" t="s">
        <v>44</v>
      </c>
      <c r="C11" s="8">
        <v>6907</v>
      </c>
      <c r="D11" s="8">
        <v>834</v>
      </c>
      <c r="E11" s="8">
        <v>163790</v>
      </c>
      <c r="F11" s="30">
        <f t="shared" si="0"/>
        <v>6073</v>
      </c>
      <c r="G11" s="30">
        <f t="shared" si="1"/>
        <v>157717</v>
      </c>
      <c r="H11" s="31">
        <f t="shared" si="2"/>
        <v>3.8505677891413099</v>
      </c>
      <c r="I11" s="3">
        <v>54.158984064961238</v>
      </c>
      <c r="J11" s="8">
        <v>22087</v>
      </c>
      <c r="L11" s="27" t="s">
        <v>435</v>
      </c>
      <c r="M11" s="28">
        <v>1.1318051438373171</v>
      </c>
      <c r="N11" s="28"/>
      <c r="O11" s="28"/>
    </row>
    <row r="12" spans="1:15" x14ac:dyDescent="0.3">
      <c r="A12" s="6" t="s">
        <v>124</v>
      </c>
      <c r="B12" s="3" t="s">
        <v>542</v>
      </c>
      <c r="C12" s="8">
        <v>7097</v>
      </c>
      <c r="D12" s="8">
        <v>369</v>
      </c>
      <c r="E12" s="8">
        <v>170518</v>
      </c>
      <c r="F12" s="30">
        <f t="shared" si="0"/>
        <v>6728</v>
      </c>
      <c r="G12" s="30">
        <f t="shared" si="1"/>
        <v>163790</v>
      </c>
      <c r="H12" s="31">
        <f t="shared" si="2"/>
        <v>4.1076988827156731</v>
      </c>
      <c r="I12" s="3">
        <v>9.2506362964613711</v>
      </c>
      <c r="J12" s="8">
        <v>33762</v>
      </c>
      <c r="L12" s="27" t="s">
        <v>27</v>
      </c>
      <c r="M12" s="28">
        <v>2.0202450791076347</v>
      </c>
      <c r="N12" s="28"/>
      <c r="O12" s="28"/>
    </row>
    <row r="13" spans="1:15" x14ac:dyDescent="0.3">
      <c r="A13" s="6" t="s">
        <v>124</v>
      </c>
      <c r="B13" s="3" t="s">
        <v>21</v>
      </c>
      <c r="C13" s="8">
        <v>6656</v>
      </c>
      <c r="D13" s="8">
        <v>978</v>
      </c>
      <c r="E13" s="8">
        <v>176196</v>
      </c>
      <c r="F13" s="30">
        <f t="shared" si="0"/>
        <v>5678</v>
      </c>
      <c r="G13" s="30">
        <f t="shared" si="1"/>
        <v>170518</v>
      </c>
      <c r="H13" s="31">
        <f t="shared" si="2"/>
        <v>3.3298537397811376</v>
      </c>
      <c r="I13" s="3">
        <v>60.425889350496043</v>
      </c>
      <c r="J13" s="8">
        <v>27081</v>
      </c>
      <c r="L13" s="27" t="s">
        <v>62</v>
      </c>
      <c r="M13" s="28">
        <v>1.635522726177121</v>
      </c>
      <c r="N13" s="28"/>
      <c r="O13" s="28"/>
    </row>
    <row r="14" spans="1:15" x14ac:dyDescent="0.3">
      <c r="A14" s="6" t="s">
        <v>35</v>
      </c>
      <c r="B14" s="3" t="s">
        <v>44</v>
      </c>
      <c r="C14" s="8">
        <v>9984</v>
      </c>
      <c r="D14" s="8">
        <v>1330</v>
      </c>
      <c r="E14" s="8">
        <v>184850</v>
      </c>
      <c r="F14" s="30">
        <f t="shared" si="0"/>
        <v>8654</v>
      </c>
      <c r="G14" s="30">
        <f t="shared" si="1"/>
        <v>176196</v>
      </c>
      <c r="H14" s="31">
        <f t="shared" si="2"/>
        <v>4.9115757451928532</v>
      </c>
      <c r="I14" s="3">
        <v>57.524479307546663</v>
      </c>
      <c r="J14" s="8">
        <v>44947</v>
      </c>
      <c r="L14" s="27" t="s">
        <v>57</v>
      </c>
      <c r="M14" s="28">
        <v>1.3774212310108149</v>
      </c>
      <c r="N14" s="28"/>
      <c r="O14" s="28"/>
    </row>
    <row r="15" spans="1:15" x14ac:dyDescent="0.3">
      <c r="A15" s="6" t="s">
        <v>35</v>
      </c>
      <c r="B15" s="3" t="s">
        <v>21</v>
      </c>
      <c r="C15" s="8">
        <v>5259</v>
      </c>
      <c r="D15" s="8">
        <v>374</v>
      </c>
      <c r="E15" s="8">
        <v>189735</v>
      </c>
      <c r="F15" s="30">
        <f t="shared" si="0"/>
        <v>4885</v>
      </c>
      <c r="G15" s="30">
        <f t="shared" si="1"/>
        <v>184850</v>
      </c>
      <c r="H15" s="31">
        <f t="shared" si="2"/>
        <v>2.642683256694617</v>
      </c>
      <c r="I15" s="3">
        <v>14.827522597306769</v>
      </c>
      <c r="J15" s="8">
        <v>19596</v>
      </c>
      <c r="L15" s="27" t="s">
        <v>154</v>
      </c>
      <c r="M15" s="28">
        <v>1.3923259370509968</v>
      </c>
      <c r="N15" s="28"/>
      <c r="O15" s="28"/>
    </row>
    <row r="16" spans="1:15" x14ac:dyDescent="0.3">
      <c r="A16" s="6" t="s">
        <v>35</v>
      </c>
      <c r="B16" s="3" t="s">
        <v>541</v>
      </c>
      <c r="C16" s="8">
        <v>9286</v>
      </c>
      <c r="D16" s="8">
        <v>633</v>
      </c>
      <c r="E16" s="8">
        <v>198388</v>
      </c>
      <c r="F16" s="30">
        <f t="shared" si="0"/>
        <v>8653</v>
      </c>
      <c r="G16" s="30">
        <f t="shared" si="1"/>
        <v>189735</v>
      </c>
      <c r="H16" s="31">
        <f t="shared" si="2"/>
        <v>4.560571323161251</v>
      </c>
      <c r="I16" s="3">
        <v>5.4343004617214756</v>
      </c>
      <c r="J16" s="8">
        <v>48019</v>
      </c>
      <c r="L16" s="27" t="s">
        <v>66</v>
      </c>
      <c r="M16" s="28">
        <v>1.4907335516276365</v>
      </c>
      <c r="N16" s="28"/>
      <c r="O16" s="28"/>
    </row>
    <row r="17" spans="1:28" x14ac:dyDescent="0.3">
      <c r="A17" s="6" t="s">
        <v>35</v>
      </c>
      <c r="B17" s="3" t="s">
        <v>44</v>
      </c>
      <c r="C17" s="8">
        <v>6901</v>
      </c>
      <c r="D17" s="8">
        <v>471</v>
      </c>
      <c r="E17" s="8">
        <v>204818</v>
      </c>
      <c r="F17" s="30">
        <f t="shared" si="0"/>
        <v>6430</v>
      </c>
      <c r="G17" s="30">
        <f t="shared" si="1"/>
        <v>198388</v>
      </c>
      <c r="H17" s="31">
        <f t="shared" si="2"/>
        <v>3.241123455047684</v>
      </c>
      <c r="I17" s="3">
        <v>60.827661631301943</v>
      </c>
      <c r="J17" s="8">
        <v>52003</v>
      </c>
      <c r="L17" s="27" t="s">
        <v>510</v>
      </c>
      <c r="M17" s="28">
        <v>0.86947586545734046</v>
      </c>
      <c r="N17" s="28"/>
      <c r="O17" s="28"/>
    </row>
    <row r="18" spans="1:28" x14ac:dyDescent="0.3">
      <c r="A18" s="6" t="s">
        <v>393</v>
      </c>
      <c r="B18" s="3" t="s">
        <v>542</v>
      </c>
      <c r="C18" s="8">
        <v>5917</v>
      </c>
      <c r="D18" s="8">
        <v>475</v>
      </c>
      <c r="E18" s="8">
        <v>210260</v>
      </c>
      <c r="F18" s="30">
        <f t="shared" si="0"/>
        <v>5442</v>
      </c>
      <c r="G18" s="30">
        <f t="shared" si="1"/>
        <v>204818</v>
      </c>
      <c r="H18" s="31">
        <f t="shared" si="2"/>
        <v>2.656993037721294</v>
      </c>
      <c r="I18" s="3">
        <v>17.894035955483691</v>
      </c>
      <c r="J18" s="8">
        <v>28313</v>
      </c>
      <c r="L18" s="27" t="s">
        <v>511</v>
      </c>
      <c r="M18" s="28">
        <v>0.97706152242770927</v>
      </c>
      <c r="N18" s="28"/>
      <c r="O18" s="28"/>
    </row>
    <row r="19" spans="1:28" ht="23.4" x14ac:dyDescent="0.45">
      <c r="A19" s="6" t="s">
        <v>393</v>
      </c>
      <c r="B19" s="3" t="s">
        <v>44</v>
      </c>
      <c r="C19" s="8">
        <v>9429</v>
      </c>
      <c r="D19" s="8">
        <v>966</v>
      </c>
      <c r="E19" s="8">
        <v>218723</v>
      </c>
      <c r="F19" s="30">
        <f t="shared" si="0"/>
        <v>8463</v>
      </c>
      <c r="G19" s="30">
        <f t="shared" si="1"/>
        <v>210260</v>
      </c>
      <c r="H19" s="31">
        <f t="shared" si="2"/>
        <v>4.0250166460572627</v>
      </c>
      <c r="I19" s="3">
        <v>7.6914636320825887</v>
      </c>
      <c r="J19" s="8">
        <v>57639</v>
      </c>
      <c r="L19" s="27" t="s">
        <v>512</v>
      </c>
      <c r="M19" s="28">
        <v>0.96404325281183434</v>
      </c>
      <c r="N19" s="28"/>
      <c r="O19" s="29" t="s">
        <v>582</v>
      </c>
    </row>
    <row r="20" spans="1:28" ht="18" x14ac:dyDescent="0.35">
      <c r="A20" s="6" t="s">
        <v>393</v>
      </c>
      <c r="B20" s="3" t="s">
        <v>21</v>
      </c>
      <c r="C20" s="8">
        <v>3530</v>
      </c>
      <c r="D20" s="8">
        <v>328</v>
      </c>
      <c r="E20" s="8">
        <v>221925</v>
      </c>
      <c r="F20" s="30">
        <f t="shared" si="0"/>
        <v>3202</v>
      </c>
      <c r="G20" s="30">
        <f t="shared" si="1"/>
        <v>218723</v>
      </c>
      <c r="H20" s="31">
        <f t="shared" si="2"/>
        <v>1.4639521220904981</v>
      </c>
      <c r="I20" s="3">
        <v>12.8372197814577</v>
      </c>
      <c r="J20" s="8">
        <v>11013</v>
      </c>
      <c r="L20" s="27" t="s">
        <v>513</v>
      </c>
      <c r="M20" s="28">
        <v>0.88464098385527534</v>
      </c>
      <c r="N20" s="28"/>
      <c r="O20" s="47" t="s">
        <v>579</v>
      </c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</row>
    <row r="21" spans="1:28" ht="18" x14ac:dyDescent="0.35">
      <c r="A21" s="6" t="s">
        <v>393</v>
      </c>
      <c r="B21" s="3" t="s">
        <v>21</v>
      </c>
      <c r="C21" s="8">
        <v>2960</v>
      </c>
      <c r="D21" s="8">
        <v>234</v>
      </c>
      <c r="E21" s="8">
        <v>224651</v>
      </c>
      <c r="F21" s="30">
        <f t="shared" si="0"/>
        <v>2726</v>
      </c>
      <c r="G21" s="30">
        <f t="shared" si="1"/>
        <v>221925</v>
      </c>
      <c r="H21" s="31">
        <f t="shared" si="2"/>
        <v>1.2283429086403064</v>
      </c>
      <c r="I21" s="3">
        <v>17.41278694508371</v>
      </c>
      <c r="J21" s="8">
        <v>59378</v>
      </c>
      <c r="L21" s="27" t="s">
        <v>514</v>
      </c>
      <c r="M21" s="28">
        <v>1.1315506502756201</v>
      </c>
      <c r="N21" s="28"/>
      <c r="O21" s="48" t="s">
        <v>580</v>
      </c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</row>
    <row r="22" spans="1:28" ht="18" x14ac:dyDescent="0.35">
      <c r="A22" s="6" t="s">
        <v>508</v>
      </c>
      <c r="B22" s="3" t="s">
        <v>44</v>
      </c>
      <c r="C22" s="8">
        <v>8045</v>
      </c>
      <c r="D22" s="8">
        <v>894</v>
      </c>
      <c r="E22" s="8">
        <v>231802</v>
      </c>
      <c r="F22" s="30">
        <f t="shared" si="0"/>
        <v>7151</v>
      </c>
      <c r="G22" s="30">
        <f t="shared" si="1"/>
        <v>224651</v>
      </c>
      <c r="H22" s="31">
        <f t="shared" si="2"/>
        <v>3.1831596565339124</v>
      </c>
      <c r="I22" s="3">
        <v>47.634187798207087</v>
      </c>
      <c r="J22" s="8">
        <v>33705</v>
      </c>
      <c r="L22" s="27" t="s">
        <v>128</v>
      </c>
      <c r="M22" s="28">
        <v>1.4228308111106844</v>
      </c>
      <c r="N22" s="28"/>
      <c r="O22" s="48" t="s">
        <v>581</v>
      </c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</row>
    <row r="23" spans="1:28" x14ac:dyDescent="0.3">
      <c r="A23" s="6" t="s">
        <v>508</v>
      </c>
      <c r="B23" s="3" t="s">
        <v>542</v>
      </c>
      <c r="C23" s="8">
        <v>2048</v>
      </c>
      <c r="D23" s="8">
        <v>130</v>
      </c>
      <c r="E23" s="8">
        <v>233720</v>
      </c>
      <c r="F23" s="30">
        <f t="shared" si="0"/>
        <v>1918</v>
      </c>
      <c r="G23" s="30">
        <f t="shared" si="1"/>
        <v>231802</v>
      </c>
      <c r="H23" s="31">
        <f t="shared" si="2"/>
        <v>0.8274303068998542</v>
      </c>
      <c r="I23" s="3">
        <v>39.284614068115687</v>
      </c>
      <c r="J23" s="8">
        <v>11828</v>
      </c>
      <c r="L23" s="27" t="s">
        <v>159</v>
      </c>
      <c r="M23" s="28">
        <v>1.1905464691831733</v>
      </c>
      <c r="N23" s="28"/>
      <c r="O23" s="28"/>
    </row>
    <row r="24" spans="1:28" x14ac:dyDescent="0.3">
      <c r="A24" s="6" t="s">
        <v>508</v>
      </c>
      <c r="B24" s="3" t="s">
        <v>542</v>
      </c>
      <c r="C24" s="8">
        <v>6772</v>
      </c>
      <c r="D24" s="8">
        <v>536</v>
      </c>
      <c r="E24" s="8">
        <v>239956</v>
      </c>
      <c r="F24" s="30">
        <f t="shared" si="0"/>
        <v>6236</v>
      </c>
      <c r="G24" s="30">
        <f t="shared" si="1"/>
        <v>233720</v>
      </c>
      <c r="H24" s="31">
        <f t="shared" si="2"/>
        <v>2.6681499229847678</v>
      </c>
      <c r="I24" s="3">
        <v>9.8205504342462788</v>
      </c>
      <c r="J24" s="8">
        <v>17909</v>
      </c>
      <c r="L24" s="27" t="s">
        <v>231</v>
      </c>
      <c r="M24" s="28">
        <v>0.70088228171939559</v>
      </c>
      <c r="N24" s="28"/>
      <c r="O24" s="28"/>
    </row>
    <row r="25" spans="1:28" x14ac:dyDescent="0.3">
      <c r="A25" s="6" t="s">
        <v>508</v>
      </c>
      <c r="B25" s="3" t="s">
        <v>542</v>
      </c>
      <c r="C25" s="8">
        <v>3529</v>
      </c>
      <c r="D25" s="8">
        <v>305</v>
      </c>
      <c r="E25" s="8">
        <v>243180</v>
      </c>
      <c r="F25" s="30">
        <f t="shared" si="0"/>
        <v>3224</v>
      </c>
      <c r="G25" s="30">
        <f t="shared" si="1"/>
        <v>239956</v>
      </c>
      <c r="H25" s="31">
        <f t="shared" si="2"/>
        <v>1.3435796562703162</v>
      </c>
      <c r="I25" s="3">
        <v>41.606628834608109</v>
      </c>
      <c r="J25" s="8">
        <v>48356</v>
      </c>
      <c r="L25" s="27" t="s">
        <v>515</v>
      </c>
      <c r="M25" s="28">
        <v>0.80578932668506453</v>
      </c>
      <c r="N25" s="28"/>
      <c r="O25" s="28"/>
    </row>
    <row r="26" spans="1:28" x14ac:dyDescent="0.3">
      <c r="A26" s="6" t="s">
        <v>264</v>
      </c>
      <c r="B26" s="3" t="s">
        <v>21</v>
      </c>
      <c r="C26" s="8">
        <v>3964</v>
      </c>
      <c r="D26" s="8">
        <v>378</v>
      </c>
      <c r="E26" s="8">
        <v>246766</v>
      </c>
      <c r="F26" s="30">
        <f t="shared" si="0"/>
        <v>3586</v>
      </c>
      <c r="G26" s="30">
        <f t="shared" si="1"/>
        <v>243180</v>
      </c>
      <c r="H26" s="31">
        <f t="shared" si="2"/>
        <v>1.4746278476848425</v>
      </c>
      <c r="I26" s="3">
        <v>13.6355899921383</v>
      </c>
      <c r="J26" s="8">
        <v>23109</v>
      </c>
      <c r="L26" s="27" t="s">
        <v>52</v>
      </c>
      <c r="M26" s="28">
        <v>0.83790090840649789</v>
      </c>
      <c r="N26" s="28"/>
      <c r="O26" s="28"/>
    </row>
    <row r="27" spans="1:28" x14ac:dyDescent="0.3">
      <c r="A27" s="6" t="s">
        <v>264</v>
      </c>
      <c r="B27" s="3" t="s">
        <v>44</v>
      </c>
      <c r="C27" s="8">
        <v>8137</v>
      </c>
      <c r="D27" s="8">
        <v>1045</v>
      </c>
      <c r="E27" s="8">
        <v>253858</v>
      </c>
      <c r="F27" s="30">
        <f t="shared" si="0"/>
        <v>7092</v>
      </c>
      <c r="G27" s="30">
        <f t="shared" si="1"/>
        <v>246766</v>
      </c>
      <c r="H27" s="31">
        <f t="shared" si="2"/>
        <v>2.873977776517024</v>
      </c>
      <c r="I27" s="3">
        <v>20.47246886054408</v>
      </c>
      <c r="J27" s="8">
        <v>12023</v>
      </c>
      <c r="L27" s="27" t="s">
        <v>450</v>
      </c>
      <c r="M27" s="28">
        <v>1.0882194941716608</v>
      </c>
      <c r="N27" s="28"/>
      <c r="O27" s="28"/>
    </row>
    <row r="28" spans="1:28" x14ac:dyDescent="0.3">
      <c r="A28" s="6" t="s">
        <v>264</v>
      </c>
      <c r="B28" s="3" t="s">
        <v>541</v>
      </c>
      <c r="C28" s="8">
        <v>1963</v>
      </c>
      <c r="D28" s="8">
        <v>137</v>
      </c>
      <c r="E28" s="8">
        <v>255684</v>
      </c>
      <c r="F28" s="30">
        <f t="shared" si="0"/>
        <v>1826</v>
      </c>
      <c r="G28" s="30">
        <f t="shared" si="1"/>
        <v>253858</v>
      </c>
      <c r="H28" s="31">
        <f t="shared" si="2"/>
        <v>0.71929976601091949</v>
      </c>
      <c r="I28" s="3">
        <v>11.2083665774941</v>
      </c>
      <c r="J28" s="8">
        <v>24537</v>
      </c>
      <c r="L28" s="27" t="s">
        <v>516</v>
      </c>
      <c r="M28" s="28">
        <v>0.67186340997163296</v>
      </c>
      <c r="N28" s="28"/>
      <c r="O28" s="28"/>
    </row>
    <row r="29" spans="1:28" x14ac:dyDescent="0.3">
      <c r="A29" s="6" t="s">
        <v>264</v>
      </c>
      <c r="B29" s="3" t="s">
        <v>21</v>
      </c>
      <c r="C29" s="8">
        <v>1536</v>
      </c>
      <c r="D29" s="8">
        <v>155</v>
      </c>
      <c r="E29" s="8">
        <v>257065</v>
      </c>
      <c r="F29" s="30">
        <f t="shared" si="0"/>
        <v>1381</v>
      </c>
      <c r="G29" s="30">
        <f t="shared" si="1"/>
        <v>255684</v>
      </c>
      <c r="H29" s="31">
        <f t="shared" si="2"/>
        <v>0.54011983542184883</v>
      </c>
      <c r="I29" s="3">
        <v>12.15762550327738</v>
      </c>
      <c r="J29" s="8">
        <v>36661</v>
      </c>
      <c r="L29" s="27" t="s">
        <v>176</v>
      </c>
      <c r="M29" s="28">
        <v>0.5662081246642956</v>
      </c>
      <c r="N29" s="28"/>
      <c r="O29" s="28"/>
    </row>
    <row r="30" spans="1:28" x14ac:dyDescent="0.3">
      <c r="A30" s="6" t="s">
        <v>509</v>
      </c>
      <c r="B30" s="3" t="s">
        <v>542</v>
      </c>
      <c r="C30" s="8">
        <v>8340</v>
      </c>
      <c r="D30" s="8">
        <v>911</v>
      </c>
      <c r="E30" s="8">
        <v>264494</v>
      </c>
      <c r="F30" s="30">
        <f t="shared" si="0"/>
        <v>7429</v>
      </c>
      <c r="G30" s="30">
        <f t="shared" si="1"/>
        <v>257065</v>
      </c>
      <c r="H30" s="31">
        <f t="shared" si="2"/>
        <v>2.8899305623091438</v>
      </c>
      <c r="I30" s="3">
        <v>37.302925586213682</v>
      </c>
      <c r="J30" s="8">
        <v>48659</v>
      </c>
      <c r="L30" s="27" t="s">
        <v>87</v>
      </c>
      <c r="M30" s="28">
        <v>0.68401971298632247</v>
      </c>
      <c r="N30" s="28"/>
      <c r="O30" s="28"/>
    </row>
    <row r="31" spans="1:28" x14ac:dyDescent="0.3">
      <c r="A31" s="6" t="s">
        <v>509</v>
      </c>
      <c r="B31" s="3" t="s">
        <v>44</v>
      </c>
      <c r="C31" s="8">
        <v>8179</v>
      </c>
      <c r="D31" s="8">
        <v>446</v>
      </c>
      <c r="E31" s="8">
        <v>272227</v>
      </c>
      <c r="F31" s="30">
        <f t="shared" si="0"/>
        <v>7733</v>
      </c>
      <c r="G31" s="30">
        <f t="shared" si="1"/>
        <v>264494</v>
      </c>
      <c r="H31" s="31">
        <f t="shared" si="2"/>
        <v>2.9236958116252163</v>
      </c>
      <c r="I31" s="3">
        <v>41.82171496581897</v>
      </c>
      <c r="J31" s="8">
        <v>43848</v>
      </c>
      <c r="L31" s="27" t="s">
        <v>13</v>
      </c>
      <c r="M31" s="28">
        <v>0.65142101981286182</v>
      </c>
      <c r="N31" s="28"/>
      <c r="O31" s="28"/>
    </row>
    <row r="32" spans="1:28" x14ac:dyDescent="0.3">
      <c r="A32" s="6" t="s">
        <v>509</v>
      </c>
      <c r="B32" s="3" t="s">
        <v>542</v>
      </c>
      <c r="C32" s="8">
        <v>8967</v>
      </c>
      <c r="D32" s="8">
        <v>993</v>
      </c>
      <c r="E32" s="8">
        <v>280201</v>
      </c>
      <c r="F32" s="30">
        <f t="shared" si="0"/>
        <v>7974</v>
      </c>
      <c r="G32" s="30">
        <f t="shared" si="1"/>
        <v>272227</v>
      </c>
      <c r="H32" s="31">
        <f t="shared" si="2"/>
        <v>2.9291730798194155</v>
      </c>
      <c r="I32" s="3">
        <v>52.792102811910027</v>
      </c>
      <c r="J32" s="8">
        <v>47804</v>
      </c>
      <c r="L32" s="27" t="s">
        <v>517</v>
      </c>
      <c r="M32" s="28">
        <v>0.7881378298047369</v>
      </c>
      <c r="N32" s="28"/>
      <c r="O32" s="28"/>
    </row>
    <row r="33" spans="1:15" x14ac:dyDescent="0.3">
      <c r="A33" s="6" t="s">
        <v>509</v>
      </c>
      <c r="B33" s="3" t="s">
        <v>541</v>
      </c>
      <c r="C33" s="8">
        <v>9734</v>
      </c>
      <c r="D33" s="8">
        <v>652</v>
      </c>
      <c r="E33" s="8">
        <v>289283</v>
      </c>
      <c r="F33" s="30">
        <f t="shared" si="0"/>
        <v>9082</v>
      </c>
      <c r="G33" s="30">
        <f t="shared" si="1"/>
        <v>280201</v>
      </c>
      <c r="H33" s="31">
        <f t="shared" si="2"/>
        <v>3.2412446779276309</v>
      </c>
      <c r="I33" s="3">
        <v>49.647922622483861</v>
      </c>
      <c r="J33" s="8">
        <v>25379</v>
      </c>
      <c r="L33" s="27" t="s">
        <v>97</v>
      </c>
      <c r="M33" s="28">
        <v>0.86501296097517388</v>
      </c>
      <c r="N33" s="28"/>
      <c r="O33" s="28"/>
    </row>
    <row r="34" spans="1:15" x14ac:dyDescent="0.3">
      <c r="A34" s="6" t="s">
        <v>219</v>
      </c>
      <c r="B34" s="3" t="s">
        <v>542</v>
      </c>
      <c r="C34" s="8">
        <v>1845</v>
      </c>
      <c r="D34" s="8">
        <v>104</v>
      </c>
      <c r="E34" s="8">
        <v>291024</v>
      </c>
      <c r="F34" s="30">
        <f t="shared" si="0"/>
        <v>1741</v>
      </c>
      <c r="G34" s="30">
        <f t="shared" si="1"/>
        <v>289283</v>
      </c>
      <c r="H34" s="31">
        <f t="shared" si="2"/>
        <v>0.60183280732016742</v>
      </c>
      <c r="I34" s="3">
        <v>28.158158777282971</v>
      </c>
      <c r="J34" s="8">
        <v>37766</v>
      </c>
      <c r="L34" s="27" t="s">
        <v>518</v>
      </c>
      <c r="M34" s="28">
        <v>0.58130282931674915</v>
      </c>
      <c r="N34" s="28"/>
      <c r="O34" s="28"/>
    </row>
    <row r="35" spans="1:15" x14ac:dyDescent="0.3">
      <c r="A35" s="6" t="s">
        <v>219</v>
      </c>
      <c r="B35" s="3" t="s">
        <v>542</v>
      </c>
      <c r="C35" s="8">
        <v>6777</v>
      </c>
      <c r="D35" s="8">
        <v>981</v>
      </c>
      <c r="E35" s="8">
        <v>296820</v>
      </c>
      <c r="F35" s="30">
        <f t="shared" si="0"/>
        <v>5796</v>
      </c>
      <c r="G35" s="30">
        <f t="shared" si="1"/>
        <v>291024</v>
      </c>
      <c r="H35" s="31">
        <f t="shared" si="2"/>
        <v>1.9915883226125679</v>
      </c>
      <c r="I35" s="3">
        <v>23.920557913887201</v>
      </c>
      <c r="J35" s="8">
        <v>53590</v>
      </c>
      <c r="L35" s="27" t="s">
        <v>519</v>
      </c>
      <c r="M35" s="28">
        <v>0.83906963231673881</v>
      </c>
      <c r="N35" s="28"/>
      <c r="O35" s="28"/>
    </row>
    <row r="36" spans="1:15" x14ac:dyDescent="0.3">
      <c r="A36" s="6" t="s">
        <v>219</v>
      </c>
      <c r="B36" s="3" t="s">
        <v>541</v>
      </c>
      <c r="C36" s="8">
        <v>4036</v>
      </c>
      <c r="D36" s="8">
        <v>591</v>
      </c>
      <c r="E36" s="8">
        <v>300265</v>
      </c>
      <c r="F36" s="30">
        <f t="shared" si="0"/>
        <v>3445</v>
      </c>
      <c r="G36" s="30">
        <f t="shared" si="1"/>
        <v>296820</v>
      </c>
      <c r="H36" s="31">
        <f t="shared" si="2"/>
        <v>1.1606360757361365</v>
      </c>
      <c r="I36" s="3">
        <v>44.219272975538267</v>
      </c>
      <c r="J36" s="8">
        <v>12563</v>
      </c>
      <c r="L36" s="27" t="s">
        <v>179</v>
      </c>
      <c r="M36" s="28">
        <v>0.66388711987092397</v>
      </c>
      <c r="N36" s="28"/>
      <c r="O36" s="28"/>
    </row>
    <row r="37" spans="1:15" x14ac:dyDescent="0.3">
      <c r="A37" s="6" t="s">
        <v>219</v>
      </c>
      <c r="B37" s="3" t="s">
        <v>44</v>
      </c>
      <c r="C37" s="8">
        <v>6947</v>
      </c>
      <c r="D37" s="8">
        <v>908</v>
      </c>
      <c r="E37" s="8">
        <v>306304</v>
      </c>
      <c r="F37" s="30">
        <f t="shared" si="0"/>
        <v>6039</v>
      </c>
      <c r="G37" s="30">
        <f t="shared" si="1"/>
        <v>300265</v>
      </c>
      <c r="H37" s="31">
        <f t="shared" si="2"/>
        <v>2.0112234193129401</v>
      </c>
      <c r="I37" s="3">
        <v>14.117673944839121</v>
      </c>
      <c r="J37" s="8">
        <v>46060</v>
      </c>
      <c r="L37" s="27" t="s">
        <v>520</v>
      </c>
      <c r="M37" s="28">
        <v>0.81125892278692413</v>
      </c>
      <c r="N37" s="28"/>
      <c r="O37" s="28"/>
    </row>
    <row r="38" spans="1:15" x14ac:dyDescent="0.3">
      <c r="A38" s="6" t="s">
        <v>435</v>
      </c>
      <c r="B38" s="3" t="s">
        <v>21</v>
      </c>
      <c r="C38" s="8">
        <v>3494</v>
      </c>
      <c r="D38" s="8">
        <v>281</v>
      </c>
      <c r="E38" s="8">
        <v>309517</v>
      </c>
      <c r="F38" s="30">
        <f t="shared" si="0"/>
        <v>3213</v>
      </c>
      <c r="G38" s="30">
        <f t="shared" si="1"/>
        <v>306304</v>
      </c>
      <c r="H38" s="31">
        <f t="shared" si="2"/>
        <v>1.0489578980359382</v>
      </c>
      <c r="I38" s="3">
        <v>27.765518533715429</v>
      </c>
      <c r="J38" s="8">
        <v>39197</v>
      </c>
      <c r="L38" s="27" t="s">
        <v>437</v>
      </c>
      <c r="M38" s="28">
        <v>0.37813811379176931</v>
      </c>
      <c r="N38" s="28"/>
      <c r="O38" s="28"/>
    </row>
    <row r="39" spans="1:15" x14ac:dyDescent="0.3">
      <c r="A39" s="6" t="s">
        <v>435</v>
      </c>
      <c r="B39" s="3" t="s">
        <v>44</v>
      </c>
      <c r="C39" s="8">
        <v>3719</v>
      </c>
      <c r="D39" s="8">
        <v>222</v>
      </c>
      <c r="E39" s="8">
        <v>313014</v>
      </c>
      <c r="F39" s="30">
        <f t="shared" si="0"/>
        <v>3497</v>
      </c>
      <c r="G39" s="30">
        <f t="shared" si="1"/>
        <v>309517</v>
      </c>
      <c r="H39" s="31">
        <f t="shared" si="2"/>
        <v>1.1298248561468354</v>
      </c>
      <c r="I39" s="3">
        <v>21.669318305251519</v>
      </c>
      <c r="J39" s="8">
        <v>13586</v>
      </c>
      <c r="L39" s="27" t="s">
        <v>99</v>
      </c>
      <c r="M39" s="28">
        <v>0.48669003434288971</v>
      </c>
      <c r="N39" s="28"/>
      <c r="O39" s="28"/>
    </row>
    <row r="40" spans="1:15" x14ac:dyDescent="0.3">
      <c r="A40" s="6" t="s">
        <v>435</v>
      </c>
      <c r="B40" s="3" t="s">
        <v>541</v>
      </c>
      <c r="C40" s="8">
        <v>2884</v>
      </c>
      <c r="D40" s="8">
        <v>341</v>
      </c>
      <c r="E40" s="8">
        <v>315557</v>
      </c>
      <c r="F40" s="30">
        <f t="shared" si="0"/>
        <v>2543</v>
      </c>
      <c r="G40" s="30">
        <f t="shared" si="1"/>
        <v>313014</v>
      </c>
      <c r="H40" s="31">
        <f t="shared" si="2"/>
        <v>0.81242372545636943</v>
      </c>
      <c r="I40" s="3">
        <v>46.999749649033298</v>
      </c>
      <c r="J40" s="8">
        <v>26087</v>
      </c>
      <c r="L40" s="27" t="s">
        <v>112</v>
      </c>
      <c r="M40" s="28">
        <v>0.8096188740966721</v>
      </c>
      <c r="N40" s="28"/>
      <c r="O40" s="28"/>
    </row>
    <row r="41" spans="1:15" x14ac:dyDescent="0.3">
      <c r="A41" s="6" t="s">
        <v>435</v>
      </c>
      <c r="B41" s="3" t="s">
        <v>542</v>
      </c>
      <c r="C41" s="8">
        <v>5349</v>
      </c>
      <c r="D41" s="8">
        <v>502</v>
      </c>
      <c r="E41" s="8">
        <v>320404</v>
      </c>
      <c r="F41" s="30">
        <f t="shared" si="0"/>
        <v>4847</v>
      </c>
      <c r="G41" s="30">
        <f t="shared" si="1"/>
        <v>315557</v>
      </c>
      <c r="H41" s="31">
        <f t="shared" si="2"/>
        <v>1.5360140957101251</v>
      </c>
      <c r="I41" s="3">
        <v>5.2152906954969351</v>
      </c>
      <c r="J41" s="8">
        <v>58868</v>
      </c>
      <c r="L41" s="27" t="s">
        <v>156</v>
      </c>
      <c r="M41" s="28">
        <v>0.5273583396593734</v>
      </c>
      <c r="N41" s="28"/>
      <c r="O41" s="28"/>
    </row>
    <row r="42" spans="1:15" x14ac:dyDescent="0.3">
      <c r="A42" s="6" t="s">
        <v>27</v>
      </c>
      <c r="B42" s="3" t="s">
        <v>44</v>
      </c>
      <c r="C42" s="8">
        <v>6179</v>
      </c>
      <c r="D42" s="8">
        <v>384</v>
      </c>
      <c r="E42" s="8">
        <v>326199</v>
      </c>
      <c r="F42" s="30">
        <f t="shared" si="0"/>
        <v>5795</v>
      </c>
      <c r="G42" s="30">
        <f t="shared" si="1"/>
        <v>320404</v>
      </c>
      <c r="H42" s="31">
        <f t="shared" si="2"/>
        <v>1.8086540742312831</v>
      </c>
      <c r="I42" s="3">
        <v>14.71218489327067</v>
      </c>
      <c r="J42" s="8">
        <v>33225</v>
      </c>
      <c r="L42" s="27" t="s">
        <v>521</v>
      </c>
      <c r="M42" s="28">
        <v>0.45162427555546353</v>
      </c>
      <c r="N42" s="28"/>
      <c r="O42" s="28"/>
    </row>
    <row r="43" spans="1:15" x14ac:dyDescent="0.3">
      <c r="A43" s="6" t="s">
        <v>27</v>
      </c>
      <c r="B43" s="3" t="s">
        <v>21</v>
      </c>
      <c r="C43" s="8">
        <v>7610</v>
      </c>
      <c r="D43" s="8">
        <v>757</v>
      </c>
      <c r="E43" s="8">
        <v>333052</v>
      </c>
      <c r="F43" s="30">
        <f t="shared" si="0"/>
        <v>6853</v>
      </c>
      <c r="G43" s="30">
        <f t="shared" si="1"/>
        <v>326199</v>
      </c>
      <c r="H43" s="31">
        <f t="shared" si="2"/>
        <v>2.1008648095181162</v>
      </c>
      <c r="I43" s="3">
        <v>44.450416151231643</v>
      </c>
      <c r="J43" s="8">
        <v>39750</v>
      </c>
      <c r="L43" s="27" t="s">
        <v>522</v>
      </c>
      <c r="M43" s="28">
        <v>0.69500272557253129</v>
      </c>
      <c r="N43" s="28"/>
      <c r="O43" s="28"/>
    </row>
    <row r="44" spans="1:15" x14ac:dyDescent="0.3">
      <c r="A44" s="6" t="s">
        <v>27</v>
      </c>
      <c r="B44" s="3" t="s">
        <v>541</v>
      </c>
      <c r="C44" s="8">
        <v>7430</v>
      </c>
      <c r="D44" s="8">
        <v>397</v>
      </c>
      <c r="E44" s="8">
        <v>340085</v>
      </c>
      <c r="F44" s="30">
        <f t="shared" si="0"/>
        <v>7033</v>
      </c>
      <c r="G44" s="30">
        <f t="shared" si="1"/>
        <v>333052</v>
      </c>
      <c r="H44" s="31">
        <f t="shared" si="2"/>
        <v>2.1116822598272944</v>
      </c>
      <c r="I44" s="3">
        <v>28.065042562888689</v>
      </c>
      <c r="J44" s="8">
        <v>16643</v>
      </c>
      <c r="L44" s="27" t="s">
        <v>338</v>
      </c>
      <c r="M44" s="28">
        <v>0.61424674429465398</v>
      </c>
      <c r="N44" s="28"/>
      <c r="O44" s="28"/>
    </row>
    <row r="45" spans="1:15" x14ac:dyDescent="0.3">
      <c r="A45" s="6" t="s">
        <v>27</v>
      </c>
      <c r="B45" s="3" t="s">
        <v>44</v>
      </c>
      <c r="C45" s="8">
        <v>8154</v>
      </c>
      <c r="D45" s="8">
        <v>1149</v>
      </c>
      <c r="E45" s="8">
        <v>347090</v>
      </c>
      <c r="F45" s="30">
        <f t="shared" si="0"/>
        <v>7005</v>
      </c>
      <c r="G45" s="30">
        <f t="shared" si="1"/>
        <v>340085</v>
      </c>
      <c r="H45" s="31">
        <f t="shared" si="2"/>
        <v>2.0597791728538453</v>
      </c>
      <c r="I45" s="3">
        <v>26.003918292085629</v>
      </c>
      <c r="J45" s="8">
        <v>37523</v>
      </c>
      <c r="L45" s="27" t="s">
        <v>523</v>
      </c>
      <c r="M45" s="28">
        <v>0.36989283578749826</v>
      </c>
      <c r="N45" s="28"/>
      <c r="O45" s="28"/>
    </row>
    <row r="46" spans="1:15" x14ac:dyDescent="0.3">
      <c r="A46" s="6" t="s">
        <v>62</v>
      </c>
      <c r="B46" s="3" t="s">
        <v>21</v>
      </c>
      <c r="C46" s="8">
        <v>7488</v>
      </c>
      <c r="D46" s="8">
        <v>568</v>
      </c>
      <c r="E46" s="8">
        <v>354010</v>
      </c>
      <c r="F46" s="30">
        <f t="shared" si="0"/>
        <v>6920</v>
      </c>
      <c r="G46" s="30">
        <f t="shared" si="1"/>
        <v>347090</v>
      </c>
      <c r="H46" s="31">
        <f t="shared" si="2"/>
        <v>1.993719208274511</v>
      </c>
      <c r="I46" s="3">
        <v>13.47730290104799</v>
      </c>
      <c r="J46" s="8">
        <v>46727</v>
      </c>
      <c r="L46" s="27" t="s">
        <v>353</v>
      </c>
      <c r="M46" s="28">
        <v>0.48241583821137041</v>
      </c>
      <c r="N46" s="28"/>
      <c r="O46" s="28"/>
    </row>
    <row r="47" spans="1:15" x14ac:dyDescent="0.3">
      <c r="A47" s="6" t="s">
        <v>62</v>
      </c>
      <c r="B47" s="3" t="s">
        <v>541</v>
      </c>
      <c r="C47" s="8">
        <v>5737</v>
      </c>
      <c r="D47" s="8">
        <v>666</v>
      </c>
      <c r="E47" s="8">
        <v>359081</v>
      </c>
      <c r="F47" s="30">
        <f t="shared" si="0"/>
        <v>5071</v>
      </c>
      <c r="G47" s="30">
        <f t="shared" si="1"/>
        <v>354010</v>
      </c>
      <c r="H47" s="31">
        <f t="shared" si="2"/>
        <v>1.4324454111465779</v>
      </c>
      <c r="I47" s="3">
        <v>4.6034181702735593</v>
      </c>
      <c r="J47" s="8">
        <v>21005</v>
      </c>
      <c r="L47" s="27" t="s">
        <v>524</v>
      </c>
      <c r="M47" s="28">
        <v>0.56983179967312969</v>
      </c>
      <c r="N47" s="28"/>
      <c r="O47" s="28"/>
    </row>
    <row r="48" spans="1:15" x14ac:dyDescent="0.3">
      <c r="A48" s="6" t="s">
        <v>62</v>
      </c>
      <c r="B48" s="3" t="s">
        <v>21</v>
      </c>
      <c r="C48" s="8">
        <v>7525</v>
      </c>
      <c r="D48" s="8">
        <v>610</v>
      </c>
      <c r="E48" s="8">
        <v>365996</v>
      </c>
      <c r="F48" s="30">
        <f t="shared" si="0"/>
        <v>6915</v>
      </c>
      <c r="G48" s="30">
        <f t="shared" si="1"/>
        <v>359081</v>
      </c>
      <c r="H48" s="31">
        <f t="shared" si="2"/>
        <v>1.9257493434628954</v>
      </c>
      <c r="I48" s="3">
        <v>5.7694619613329108</v>
      </c>
      <c r="J48" s="8">
        <v>53543</v>
      </c>
      <c r="L48" s="27" t="s">
        <v>525</v>
      </c>
      <c r="M48" s="28">
        <v>0.49245861229732468</v>
      </c>
      <c r="N48" s="28"/>
      <c r="O48" s="28"/>
    </row>
    <row r="49" spans="1:15" x14ac:dyDescent="0.3">
      <c r="A49" s="6" t="s">
        <v>62</v>
      </c>
      <c r="B49" s="3" t="s">
        <v>541</v>
      </c>
      <c r="C49" s="8">
        <v>4850</v>
      </c>
      <c r="D49" s="8">
        <v>494</v>
      </c>
      <c r="E49" s="8">
        <v>370352</v>
      </c>
      <c r="F49" s="30">
        <f t="shared" si="0"/>
        <v>4356</v>
      </c>
      <c r="G49" s="30">
        <f t="shared" si="1"/>
        <v>365996</v>
      </c>
      <c r="H49" s="31">
        <f t="shared" si="2"/>
        <v>1.1901769418245007</v>
      </c>
      <c r="I49" s="3">
        <v>20.46539508359615</v>
      </c>
      <c r="J49" s="8">
        <v>10161</v>
      </c>
      <c r="L49" s="27" t="s">
        <v>311</v>
      </c>
      <c r="M49" s="28">
        <v>0.38253886216270544</v>
      </c>
      <c r="N49" s="28"/>
      <c r="O49" s="28"/>
    </row>
    <row r="50" spans="1:15" x14ac:dyDescent="0.3">
      <c r="A50" s="6" t="s">
        <v>57</v>
      </c>
      <c r="B50" s="3" t="s">
        <v>542</v>
      </c>
      <c r="C50" s="8">
        <v>1689</v>
      </c>
      <c r="D50" s="8">
        <v>176</v>
      </c>
      <c r="E50" s="8">
        <v>371865</v>
      </c>
      <c r="F50" s="30">
        <f t="shared" si="0"/>
        <v>1513</v>
      </c>
      <c r="G50" s="30">
        <f t="shared" si="1"/>
        <v>370352</v>
      </c>
      <c r="H50" s="31">
        <f t="shared" si="2"/>
        <v>0.40853026310104978</v>
      </c>
      <c r="I50" s="3">
        <v>38.012181840183942</v>
      </c>
      <c r="J50" s="8">
        <v>26029</v>
      </c>
      <c r="L50" s="27" t="s">
        <v>59</v>
      </c>
      <c r="M50" s="28">
        <v>0.34851696343535227</v>
      </c>
      <c r="N50" s="28"/>
      <c r="O50" s="28"/>
    </row>
    <row r="51" spans="1:15" x14ac:dyDescent="0.3">
      <c r="A51" s="6" t="s">
        <v>57</v>
      </c>
      <c r="B51" s="3" t="s">
        <v>44</v>
      </c>
      <c r="C51" s="8">
        <v>6175</v>
      </c>
      <c r="D51" s="8">
        <v>422</v>
      </c>
      <c r="E51" s="8">
        <v>377618</v>
      </c>
      <c r="F51" s="30">
        <f t="shared" si="0"/>
        <v>5753</v>
      </c>
      <c r="G51" s="30">
        <f t="shared" si="1"/>
        <v>371865</v>
      </c>
      <c r="H51" s="31">
        <f t="shared" si="2"/>
        <v>1.5470668118806556</v>
      </c>
      <c r="I51" s="3">
        <v>37.86101298137271</v>
      </c>
      <c r="J51" s="8">
        <v>59745</v>
      </c>
      <c r="L51" s="27" t="s">
        <v>22</v>
      </c>
      <c r="M51" s="28">
        <v>0.39151479552596363</v>
      </c>
      <c r="N51" s="28"/>
      <c r="O51" s="28"/>
    </row>
    <row r="52" spans="1:15" x14ac:dyDescent="0.3">
      <c r="A52" s="6" t="s">
        <v>57</v>
      </c>
      <c r="B52" s="3" t="s">
        <v>21</v>
      </c>
      <c r="C52" s="8">
        <v>9648</v>
      </c>
      <c r="D52" s="8">
        <v>1417</v>
      </c>
      <c r="E52" s="8">
        <v>385849</v>
      </c>
      <c r="F52" s="30">
        <f t="shared" si="0"/>
        <v>8231</v>
      </c>
      <c r="G52" s="30">
        <f t="shared" si="1"/>
        <v>377618</v>
      </c>
      <c r="H52" s="31">
        <f t="shared" si="2"/>
        <v>2.179716009300404</v>
      </c>
      <c r="I52" s="3">
        <v>3.6633501706626168</v>
      </c>
      <c r="J52" s="8">
        <v>24226</v>
      </c>
      <c r="O52" s="28"/>
    </row>
    <row r="53" spans="1:15" x14ac:dyDescent="0.3">
      <c r="A53" s="6" t="s">
        <v>57</v>
      </c>
      <c r="B53" s="3" t="s">
        <v>541</v>
      </c>
      <c r="C53" s="8">
        <v>6078</v>
      </c>
      <c r="D53" s="8">
        <v>775</v>
      </c>
      <c r="E53" s="8">
        <v>391152</v>
      </c>
      <c r="F53" s="30">
        <f t="shared" si="0"/>
        <v>5303</v>
      </c>
      <c r="G53" s="30">
        <f t="shared" si="1"/>
        <v>385849</v>
      </c>
      <c r="H53" s="31">
        <f t="shared" si="2"/>
        <v>1.3743718397611502</v>
      </c>
      <c r="I53" s="3">
        <v>37.760512537325639</v>
      </c>
      <c r="J53" s="8">
        <v>38731</v>
      </c>
    </row>
    <row r="54" spans="1:15" x14ac:dyDescent="0.3">
      <c r="A54" s="6" t="s">
        <v>154</v>
      </c>
      <c r="B54" s="3" t="s">
        <v>21</v>
      </c>
      <c r="C54" s="8">
        <v>6448</v>
      </c>
      <c r="D54" s="8">
        <v>928</v>
      </c>
      <c r="E54" s="8">
        <v>396672</v>
      </c>
      <c r="F54" s="30">
        <f t="shared" si="0"/>
        <v>5520</v>
      </c>
      <c r="G54" s="30">
        <f t="shared" si="1"/>
        <v>391152</v>
      </c>
      <c r="H54" s="31">
        <f t="shared" si="2"/>
        <v>1.4112161001349859</v>
      </c>
      <c r="I54" s="3">
        <v>30.118586640851881</v>
      </c>
      <c r="J54" s="8">
        <v>53922</v>
      </c>
    </row>
    <row r="55" spans="1:15" x14ac:dyDescent="0.3">
      <c r="A55" s="6" t="s">
        <v>154</v>
      </c>
      <c r="B55" s="3" t="s">
        <v>21</v>
      </c>
      <c r="C55" s="8">
        <v>2179</v>
      </c>
      <c r="D55" s="8">
        <v>303</v>
      </c>
      <c r="E55" s="8">
        <v>398548</v>
      </c>
      <c r="F55" s="30">
        <f t="shared" si="0"/>
        <v>1876</v>
      </c>
      <c r="G55" s="30">
        <f t="shared" si="1"/>
        <v>396672</v>
      </c>
      <c r="H55" s="31">
        <f t="shared" si="2"/>
        <v>0.47293481768312357</v>
      </c>
      <c r="I55" s="3">
        <v>33.909842729106657</v>
      </c>
      <c r="J55" s="8">
        <v>54848</v>
      </c>
    </row>
    <row r="56" spans="1:15" x14ac:dyDescent="0.3">
      <c r="A56" s="6" t="s">
        <v>154</v>
      </c>
      <c r="B56" s="3" t="s">
        <v>44</v>
      </c>
      <c r="C56" s="8">
        <v>7406</v>
      </c>
      <c r="D56" s="8">
        <v>813</v>
      </c>
      <c r="E56" s="8">
        <v>405141</v>
      </c>
      <c r="F56" s="30">
        <f t="shared" si="0"/>
        <v>6593</v>
      </c>
      <c r="G56" s="30">
        <f t="shared" si="1"/>
        <v>398548</v>
      </c>
      <c r="H56" s="31">
        <f t="shared" si="2"/>
        <v>1.6542549454519908</v>
      </c>
      <c r="I56" s="3">
        <v>24.457411123534769</v>
      </c>
      <c r="J56" s="8">
        <v>13390</v>
      </c>
    </row>
    <row r="57" spans="1:15" x14ac:dyDescent="0.3">
      <c r="A57" s="6" t="s">
        <v>154</v>
      </c>
      <c r="B57" s="3" t="s">
        <v>542</v>
      </c>
      <c r="C57" s="8">
        <v>9591</v>
      </c>
      <c r="D57" s="8">
        <v>1363</v>
      </c>
      <c r="E57" s="8">
        <v>413369</v>
      </c>
      <c r="F57" s="30">
        <f t="shared" si="0"/>
        <v>8228</v>
      </c>
      <c r="G57" s="30">
        <f t="shared" si="1"/>
        <v>405141</v>
      </c>
      <c r="H57" s="31">
        <f t="shared" si="2"/>
        <v>2.030897884933887</v>
      </c>
      <c r="I57" s="3">
        <v>10.494255737609739</v>
      </c>
      <c r="J57" s="8">
        <v>15997</v>
      </c>
    </row>
    <row r="58" spans="1:15" x14ac:dyDescent="0.3">
      <c r="A58" s="6" t="s">
        <v>66</v>
      </c>
      <c r="B58" s="3" t="s">
        <v>21</v>
      </c>
      <c r="C58" s="8">
        <v>7907</v>
      </c>
      <c r="D58" s="8">
        <v>465</v>
      </c>
      <c r="E58" s="8">
        <v>420811</v>
      </c>
      <c r="F58" s="30">
        <f t="shared" si="0"/>
        <v>7442</v>
      </c>
      <c r="G58" s="30">
        <f t="shared" si="1"/>
        <v>413369</v>
      </c>
      <c r="H58" s="31">
        <f t="shared" si="2"/>
        <v>1.8003285200389967</v>
      </c>
      <c r="I58" s="3">
        <v>33.257448118038738</v>
      </c>
      <c r="J58" s="8">
        <v>22693</v>
      </c>
    </row>
    <row r="59" spans="1:15" x14ac:dyDescent="0.3">
      <c r="A59" s="6" t="s">
        <v>66</v>
      </c>
      <c r="B59" s="3" t="s">
        <v>541</v>
      </c>
      <c r="C59" s="8">
        <v>9800</v>
      </c>
      <c r="D59" s="8">
        <v>682</v>
      </c>
      <c r="E59" s="8">
        <v>429929</v>
      </c>
      <c r="F59" s="30">
        <f t="shared" si="0"/>
        <v>9118</v>
      </c>
      <c r="G59" s="30">
        <f t="shared" si="1"/>
        <v>420811</v>
      </c>
      <c r="H59" s="31">
        <f t="shared" si="2"/>
        <v>2.1667684542466805</v>
      </c>
      <c r="I59" s="3">
        <v>6.2966210699906267</v>
      </c>
      <c r="J59" s="8">
        <v>59815</v>
      </c>
    </row>
    <row r="60" spans="1:15" x14ac:dyDescent="0.3">
      <c r="A60" s="6" t="s">
        <v>66</v>
      </c>
      <c r="B60" s="3" t="s">
        <v>541</v>
      </c>
      <c r="C60" s="8">
        <v>2638</v>
      </c>
      <c r="D60" s="8">
        <v>143</v>
      </c>
      <c r="E60" s="8">
        <v>432424</v>
      </c>
      <c r="F60" s="30">
        <f t="shared" si="0"/>
        <v>2495</v>
      </c>
      <c r="G60" s="30">
        <f t="shared" si="1"/>
        <v>429929</v>
      </c>
      <c r="H60" s="31">
        <f t="shared" si="2"/>
        <v>0.58032837980224639</v>
      </c>
      <c r="I60" s="3">
        <v>6.9547481175882924</v>
      </c>
      <c r="J60" s="8">
        <v>52092</v>
      </c>
    </row>
    <row r="61" spans="1:15" x14ac:dyDescent="0.3">
      <c r="A61" s="6" t="s">
        <v>66</v>
      </c>
      <c r="B61" s="3" t="s">
        <v>542</v>
      </c>
      <c r="C61" s="8">
        <v>6671</v>
      </c>
      <c r="D61" s="8">
        <v>550</v>
      </c>
      <c r="E61" s="8">
        <v>438545</v>
      </c>
      <c r="F61" s="30">
        <f t="shared" si="0"/>
        <v>6121</v>
      </c>
      <c r="G61" s="30">
        <f t="shared" si="1"/>
        <v>432424</v>
      </c>
      <c r="H61" s="31">
        <f t="shared" si="2"/>
        <v>1.4155088524226223</v>
      </c>
      <c r="I61" s="3">
        <v>17.750287883797562</v>
      </c>
      <c r="J61" s="8">
        <v>10541</v>
      </c>
    </row>
    <row r="62" spans="1:15" x14ac:dyDescent="0.3">
      <c r="A62" s="6" t="s">
        <v>510</v>
      </c>
      <c r="B62" s="3" t="s">
        <v>541</v>
      </c>
      <c r="C62" s="8">
        <v>7928</v>
      </c>
      <c r="D62" s="8">
        <v>704</v>
      </c>
      <c r="E62" s="8">
        <v>445769</v>
      </c>
      <c r="F62" s="30">
        <f t="shared" si="0"/>
        <v>7224</v>
      </c>
      <c r="G62" s="30">
        <f t="shared" si="1"/>
        <v>438545</v>
      </c>
      <c r="H62" s="31">
        <f t="shared" si="2"/>
        <v>1.6472653889566635</v>
      </c>
      <c r="I62" s="3">
        <v>11.194362999670229</v>
      </c>
      <c r="J62" s="8">
        <v>31817</v>
      </c>
    </row>
    <row r="63" spans="1:15" x14ac:dyDescent="0.3">
      <c r="A63" s="6" t="s">
        <v>510</v>
      </c>
      <c r="B63" s="3" t="s">
        <v>542</v>
      </c>
      <c r="C63" s="8">
        <v>2382</v>
      </c>
      <c r="D63" s="8">
        <v>183</v>
      </c>
      <c r="E63" s="8">
        <v>447968</v>
      </c>
      <c r="F63" s="30">
        <f t="shared" si="0"/>
        <v>2199</v>
      </c>
      <c r="G63" s="30">
        <f t="shared" si="1"/>
        <v>445769</v>
      </c>
      <c r="H63" s="31">
        <f t="shared" si="2"/>
        <v>0.49330482828550215</v>
      </c>
      <c r="I63" s="3">
        <v>4.7335970426459033</v>
      </c>
      <c r="J63" s="8">
        <v>47861</v>
      </c>
    </row>
    <row r="64" spans="1:15" x14ac:dyDescent="0.3">
      <c r="A64" s="6" t="s">
        <v>510</v>
      </c>
      <c r="B64" s="3" t="s">
        <v>541</v>
      </c>
      <c r="C64" s="8">
        <v>2403</v>
      </c>
      <c r="D64" s="8">
        <v>319</v>
      </c>
      <c r="E64" s="8">
        <v>450052</v>
      </c>
      <c r="F64" s="30">
        <f t="shared" si="0"/>
        <v>2084</v>
      </c>
      <c r="G64" s="30">
        <f t="shared" si="1"/>
        <v>447968</v>
      </c>
      <c r="H64" s="31">
        <f t="shared" si="2"/>
        <v>0.46521180084291736</v>
      </c>
      <c r="I64" s="3">
        <v>29.92120910472568</v>
      </c>
      <c r="J64" s="8">
        <v>23428</v>
      </c>
    </row>
    <row r="65" spans="1:10" x14ac:dyDescent="0.3">
      <c r="A65" s="6" t="s">
        <v>510</v>
      </c>
      <c r="B65" s="3" t="s">
        <v>44</v>
      </c>
      <c r="C65" s="8">
        <v>4292</v>
      </c>
      <c r="D65" s="8">
        <v>367</v>
      </c>
      <c r="E65" s="8">
        <v>453977</v>
      </c>
      <c r="F65" s="30">
        <f t="shared" si="0"/>
        <v>3925</v>
      </c>
      <c r="G65" s="30">
        <f t="shared" si="1"/>
        <v>450052</v>
      </c>
      <c r="H65" s="31">
        <f t="shared" si="2"/>
        <v>0.87212144374427847</v>
      </c>
      <c r="I65" s="3">
        <v>3.5037017293827661</v>
      </c>
      <c r="J65" s="8">
        <v>53934</v>
      </c>
    </row>
    <row r="66" spans="1:10" x14ac:dyDescent="0.3">
      <c r="A66" s="6" t="s">
        <v>511</v>
      </c>
      <c r="B66" s="3" t="s">
        <v>21</v>
      </c>
      <c r="C66" s="8">
        <v>1419</v>
      </c>
      <c r="D66" s="8">
        <v>110</v>
      </c>
      <c r="E66" s="8">
        <v>455286</v>
      </c>
      <c r="F66" s="30">
        <f t="shared" si="0"/>
        <v>1309</v>
      </c>
      <c r="G66" s="30">
        <f t="shared" si="1"/>
        <v>453977</v>
      </c>
      <c r="H66" s="31">
        <f t="shared" si="2"/>
        <v>0.28834059875280027</v>
      </c>
      <c r="I66" s="3">
        <v>31.554451487636339</v>
      </c>
      <c r="J66" s="8">
        <v>58831</v>
      </c>
    </row>
    <row r="67" spans="1:10" x14ac:dyDescent="0.3">
      <c r="A67" s="6" t="s">
        <v>511</v>
      </c>
      <c r="B67" s="3" t="s">
        <v>44</v>
      </c>
      <c r="C67" s="8">
        <v>5517</v>
      </c>
      <c r="D67" s="8">
        <v>575</v>
      </c>
      <c r="E67" s="8">
        <v>460228</v>
      </c>
      <c r="F67" s="30">
        <f t="shared" ref="F67:F130" si="3">C67 -D67</f>
        <v>4942</v>
      </c>
      <c r="G67" s="30">
        <f t="shared" ref="G67:G130" si="4">E67 -F67</f>
        <v>455286</v>
      </c>
      <c r="H67" s="31">
        <f t="shared" ref="H67:H130" si="5">(F67/G67)*100</f>
        <v>1.0854715497511456</v>
      </c>
      <c r="I67" s="3">
        <v>29.45844233727631</v>
      </c>
      <c r="J67" s="8">
        <v>20258</v>
      </c>
    </row>
    <row r="68" spans="1:10" x14ac:dyDescent="0.3">
      <c r="A68" s="6" t="s">
        <v>511</v>
      </c>
      <c r="B68" s="3" t="s">
        <v>21</v>
      </c>
      <c r="C68" s="8">
        <v>4302</v>
      </c>
      <c r="D68" s="8">
        <v>275</v>
      </c>
      <c r="E68" s="8">
        <v>464255</v>
      </c>
      <c r="F68" s="30">
        <f t="shared" si="3"/>
        <v>4027</v>
      </c>
      <c r="G68" s="30">
        <f t="shared" si="4"/>
        <v>460228</v>
      </c>
      <c r="H68" s="31">
        <f t="shared" si="5"/>
        <v>0.87500108641803631</v>
      </c>
      <c r="I68" s="3">
        <v>15.72131694865968</v>
      </c>
      <c r="J68" s="8">
        <v>26044</v>
      </c>
    </row>
    <row r="69" spans="1:10" x14ac:dyDescent="0.3">
      <c r="A69" s="6" t="s">
        <v>511</v>
      </c>
      <c r="B69" s="3" t="s">
        <v>21</v>
      </c>
      <c r="C69" s="8">
        <v>8857</v>
      </c>
      <c r="D69" s="8">
        <v>1153</v>
      </c>
      <c r="E69" s="8">
        <v>471959</v>
      </c>
      <c r="F69" s="30">
        <f t="shared" si="3"/>
        <v>7704</v>
      </c>
      <c r="G69" s="30">
        <f t="shared" si="4"/>
        <v>464255</v>
      </c>
      <c r="H69" s="31">
        <f t="shared" si="5"/>
        <v>1.6594328547888553</v>
      </c>
      <c r="I69" s="3">
        <v>19.214592793018038</v>
      </c>
      <c r="J69" s="8">
        <v>39411</v>
      </c>
    </row>
    <row r="70" spans="1:10" x14ac:dyDescent="0.3">
      <c r="A70" s="6" t="s">
        <v>512</v>
      </c>
      <c r="B70" s="3" t="s">
        <v>21</v>
      </c>
      <c r="C70" s="8">
        <v>8870</v>
      </c>
      <c r="D70" s="8">
        <v>509</v>
      </c>
      <c r="E70" s="8">
        <v>480320</v>
      </c>
      <c r="F70" s="30">
        <f t="shared" si="3"/>
        <v>8361</v>
      </c>
      <c r="G70" s="30">
        <f t="shared" si="4"/>
        <v>471959</v>
      </c>
      <c r="H70" s="31">
        <f t="shared" si="5"/>
        <v>1.7715521899148019</v>
      </c>
      <c r="I70" s="3">
        <v>25.077864756828781</v>
      </c>
      <c r="J70" s="8">
        <v>15469</v>
      </c>
    </row>
    <row r="71" spans="1:10" x14ac:dyDescent="0.3">
      <c r="A71" s="6" t="s">
        <v>512</v>
      </c>
      <c r="B71" s="3" t="s">
        <v>44</v>
      </c>
      <c r="C71" s="8">
        <v>6693</v>
      </c>
      <c r="D71" s="8">
        <v>995</v>
      </c>
      <c r="E71" s="8">
        <v>486018</v>
      </c>
      <c r="F71" s="30">
        <f t="shared" si="3"/>
        <v>5698</v>
      </c>
      <c r="G71" s="30">
        <f t="shared" si="4"/>
        <v>480320</v>
      </c>
      <c r="H71" s="31">
        <f t="shared" si="5"/>
        <v>1.186292471685543</v>
      </c>
      <c r="I71" s="3">
        <v>23.761877132122681</v>
      </c>
      <c r="J71" s="8">
        <v>38854</v>
      </c>
    </row>
    <row r="72" spans="1:10" x14ac:dyDescent="0.3">
      <c r="A72" s="6" t="s">
        <v>512</v>
      </c>
      <c r="B72" s="3" t="s">
        <v>21</v>
      </c>
      <c r="C72" s="8">
        <v>1767</v>
      </c>
      <c r="D72" s="8">
        <v>224</v>
      </c>
      <c r="E72" s="8">
        <v>487561</v>
      </c>
      <c r="F72" s="30">
        <f t="shared" si="3"/>
        <v>1543</v>
      </c>
      <c r="G72" s="30">
        <f t="shared" si="4"/>
        <v>486018</v>
      </c>
      <c r="H72" s="31">
        <f t="shared" si="5"/>
        <v>0.31747795349143448</v>
      </c>
      <c r="I72" s="3">
        <v>13.208603641390511</v>
      </c>
      <c r="J72" s="8">
        <v>16256</v>
      </c>
    </row>
    <row r="73" spans="1:10" x14ac:dyDescent="0.3">
      <c r="A73" s="6" t="s">
        <v>512</v>
      </c>
      <c r="B73" s="3" t="s">
        <v>44</v>
      </c>
      <c r="C73" s="8">
        <v>3044</v>
      </c>
      <c r="D73" s="8">
        <v>212</v>
      </c>
      <c r="E73" s="8">
        <v>490393</v>
      </c>
      <c r="F73" s="30">
        <f t="shared" si="3"/>
        <v>2832</v>
      </c>
      <c r="G73" s="30">
        <f t="shared" si="4"/>
        <v>487561</v>
      </c>
      <c r="H73" s="31">
        <f t="shared" si="5"/>
        <v>0.580850396155558</v>
      </c>
      <c r="I73" s="3">
        <v>8.5343795690395261</v>
      </c>
      <c r="J73" s="8">
        <v>20720</v>
      </c>
    </row>
    <row r="74" spans="1:10" x14ac:dyDescent="0.3">
      <c r="A74" s="6" t="s">
        <v>513</v>
      </c>
      <c r="B74" s="3" t="s">
        <v>542</v>
      </c>
      <c r="C74" s="8">
        <v>2549</v>
      </c>
      <c r="D74" s="8">
        <v>128</v>
      </c>
      <c r="E74" s="8">
        <v>492814</v>
      </c>
      <c r="F74" s="30">
        <f t="shared" si="3"/>
        <v>2421</v>
      </c>
      <c r="G74" s="30">
        <f t="shared" si="4"/>
        <v>490393</v>
      </c>
      <c r="H74" s="31">
        <f t="shared" si="5"/>
        <v>0.49368567659000029</v>
      </c>
      <c r="I74" s="3">
        <v>12.734216154573531</v>
      </c>
      <c r="J74" s="8">
        <v>43937</v>
      </c>
    </row>
    <row r="75" spans="1:10" x14ac:dyDescent="0.3">
      <c r="A75" s="6" t="s">
        <v>513</v>
      </c>
      <c r="B75" s="3" t="s">
        <v>541</v>
      </c>
      <c r="C75" s="8">
        <v>7140</v>
      </c>
      <c r="D75" s="8">
        <v>939</v>
      </c>
      <c r="E75" s="8">
        <v>499015</v>
      </c>
      <c r="F75" s="30">
        <f t="shared" si="3"/>
        <v>6201</v>
      </c>
      <c r="G75" s="30">
        <f t="shared" si="4"/>
        <v>492814</v>
      </c>
      <c r="H75" s="31">
        <f t="shared" si="5"/>
        <v>1.2582840584885981</v>
      </c>
      <c r="I75" s="3">
        <v>25.120888149654821</v>
      </c>
      <c r="J75" s="8">
        <v>43598</v>
      </c>
    </row>
    <row r="76" spans="1:10" x14ac:dyDescent="0.3">
      <c r="A76" s="6" t="s">
        <v>513</v>
      </c>
      <c r="B76" s="3" t="s">
        <v>541</v>
      </c>
      <c r="C76" s="8">
        <v>4716</v>
      </c>
      <c r="D76" s="8">
        <v>569</v>
      </c>
      <c r="E76" s="8">
        <v>503162</v>
      </c>
      <c r="F76" s="30">
        <f t="shared" si="3"/>
        <v>4147</v>
      </c>
      <c r="G76" s="30">
        <f t="shared" si="4"/>
        <v>499015</v>
      </c>
      <c r="H76" s="31">
        <f t="shared" si="5"/>
        <v>0.83103714317204891</v>
      </c>
      <c r="I76" s="3">
        <v>25.64820077827817</v>
      </c>
      <c r="J76" s="8">
        <v>11651</v>
      </c>
    </row>
    <row r="77" spans="1:10" x14ac:dyDescent="0.3">
      <c r="A77" s="6" t="s">
        <v>513</v>
      </c>
      <c r="B77" s="3" t="s">
        <v>21</v>
      </c>
      <c r="C77" s="8">
        <v>5481</v>
      </c>
      <c r="D77" s="8">
        <v>673</v>
      </c>
      <c r="E77" s="8">
        <v>507970</v>
      </c>
      <c r="F77" s="30">
        <f t="shared" si="3"/>
        <v>4808</v>
      </c>
      <c r="G77" s="30">
        <f t="shared" si="4"/>
        <v>503162</v>
      </c>
      <c r="H77" s="31">
        <f t="shared" si="5"/>
        <v>0.95555705717045403</v>
      </c>
      <c r="I77" s="3">
        <v>13.08758391243577</v>
      </c>
      <c r="J77" s="8">
        <v>29194</v>
      </c>
    </row>
    <row r="78" spans="1:10" x14ac:dyDescent="0.3">
      <c r="A78" s="6" t="s">
        <v>514</v>
      </c>
      <c r="B78" s="3" t="s">
        <v>44</v>
      </c>
      <c r="C78" s="8">
        <v>8898</v>
      </c>
      <c r="D78" s="8">
        <v>1131</v>
      </c>
      <c r="E78" s="8">
        <v>515737</v>
      </c>
      <c r="F78" s="30">
        <f t="shared" si="3"/>
        <v>7767</v>
      </c>
      <c r="G78" s="30">
        <f t="shared" si="4"/>
        <v>507970</v>
      </c>
      <c r="H78" s="31">
        <f t="shared" si="5"/>
        <v>1.5290273047620924</v>
      </c>
      <c r="I78" s="3">
        <v>2.1877429775253669</v>
      </c>
      <c r="J78" s="8">
        <v>35051</v>
      </c>
    </row>
    <row r="79" spans="1:10" x14ac:dyDescent="0.3">
      <c r="A79" s="6" t="s">
        <v>514</v>
      </c>
      <c r="B79" s="3" t="s">
        <v>541</v>
      </c>
      <c r="C79" s="8">
        <v>7548</v>
      </c>
      <c r="D79" s="8">
        <v>433</v>
      </c>
      <c r="E79" s="8">
        <v>522852</v>
      </c>
      <c r="F79" s="30">
        <f t="shared" si="3"/>
        <v>7115</v>
      </c>
      <c r="G79" s="30">
        <f t="shared" si="4"/>
        <v>515737</v>
      </c>
      <c r="H79" s="31">
        <f t="shared" si="5"/>
        <v>1.3795791265703257</v>
      </c>
      <c r="I79" s="3">
        <v>8.3562843787534522</v>
      </c>
      <c r="J79" s="8">
        <v>37386</v>
      </c>
    </row>
    <row r="80" spans="1:10" x14ac:dyDescent="0.3">
      <c r="A80" s="6" t="s">
        <v>514</v>
      </c>
      <c r="B80" s="3" t="s">
        <v>44</v>
      </c>
      <c r="C80" s="8">
        <v>3293</v>
      </c>
      <c r="D80" s="8">
        <v>282</v>
      </c>
      <c r="E80" s="8">
        <v>525863</v>
      </c>
      <c r="F80" s="30">
        <f t="shared" si="3"/>
        <v>3011</v>
      </c>
      <c r="G80" s="30">
        <f t="shared" si="4"/>
        <v>522852</v>
      </c>
      <c r="H80" s="31">
        <f t="shared" si="5"/>
        <v>0.57587998133314966</v>
      </c>
      <c r="I80" s="3">
        <v>27.040693108281051</v>
      </c>
      <c r="J80" s="8">
        <v>19518</v>
      </c>
    </row>
    <row r="81" spans="1:10" x14ac:dyDescent="0.3">
      <c r="A81" s="6" t="s">
        <v>514</v>
      </c>
      <c r="B81" s="3" t="s">
        <v>44</v>
      </c>
      <c r="C81" s="8">
        <v>5837</v>
      </c>
      <c r="D81" s="8">
        <v>359</v>
      </c>
      <c r="E81" s="8">
        <v>531341</v>
      </c>
      <c r="F81" s="30">
        <f t="shared" si="3"/>
        <v>5478</v>
      </c>
      <c r="G81" s="30">
        <f t="shared" si="4"/>
        <v>525863</v>
      </c>
      <c r="H81" s="31">
        <f t="shared" si="5"/>
        <v>1.0417161884369122</v>
      </c>
      <c r="I81" s="3">
        <v>6.8073045370110723</v>
      </c>
      <c r="J81" s="8">
        <v>56026</v>
      </c>
    </row>
    <row r="82" spans="1:10" x14ac:dyDescent="0.3">
      <c r="A82" s="6" t="s">
        <v>128</v>
      </c>
      <c r="B82" s="3" t="s">
        <v>21</v>
      </c>
      <c r="C82" s="8">
        <v>8758</v>
      </c>
      <c r="D82" s="8">
        <v>1193</v>
      </c>
      <c r="E82" s="8">
        <v>538906</v>
      </c>
      <c r="F82" s="30">
        <f t="shared" si="3"/>
        <v>7565</v>
      </c>
      <c r="G82" s="30">
        <f t="shared" si="4"/>
        <v>531341</v>
      </c>
      <c r="H82" s="31">
        <f t="shared" si="5"/>
        <v>1.4237561189518597</v>
      </c>
      <c r="I82" s="3">
        <v>3.4213758985797149</v>
      </c>
      <c r="J82" s="8">
        <v>26184</v>
      </c>
    </row>
    <row r="83" spans="1:10" x14ac:dyDescent="0.3">
      <c r="A83" s="6" t="s">
        <v>128</v>
      </c>
      <c r="B83" s="3" t="s">
        <v>541</v>
      </c>
      <c r="C83" s="8">
        <v>7793</v>
      </c>
      <c r="D83" s="8">
        <v>875</v>
      </c>
      <c r="E83" s="8">
        <v>545824</v>
      </c>
      <c r="F83" s="30">
        <f t="shared" si="3"/>
        <v>6918</v>
      </c>
      <c r="G83" s="30">
        <f t="shared" si="4"/>
        <v>538906</v>
      </c>
      <c r="H83" s="31">
        <f t="shared" si="5"/>
        <v>1.2837118161608889</v>
      </c>
      <c r="I83" s="3">
        <v>5.5136820660139527</v>
      </c>
      <c r="J83" s="8">
        <v>43787</v>
      </c>
    </row>
    <row r="84" spans="1:10" x14ac:dyDescent="0.3">
      <c r="A84" s="6" t="s">
        <v>128</v>
      </c>
      <c r="B84" s="3" t="s">
        <v>21</v>
      </c>
      <c r="C84" s="8">
        <v>8638</v>
      </c>
      <c r="D84" s="8">
        <v>717</v>
      </c>
      <c r="E84" s="8">
        <v>553745</v>
      </c>
      <c r="F84" s="30">
        <f t="shared" si="3"/>
        <v>7921</v>
      </c>
      <c r="G84" s="30">
        <f t="shared" si="4"/>
        <v>545824</v>
      </c>
      <c r="H84" s="31">
        <f t="shared" si="5"/>
        <v>1.451200386937914</v>
      </c>
      <c r="I84" s="3">
        <v>26.921416897669499</v>
      </c>
      <c r="J84" s="8">
        <v>31621</v>
      </c>
    </row>
    <row r="85" spans="1:10" x14ac:dyDescent="0.3">
      <c r="A85" s="6" t="s">
        <v>128</v>
      </c>
      <c r="B85" s="3" t="s">
        <v>21</v>
      </c>
      <c r="C85" s="8">
        <v>8993</v>
      </c>
      <c r="D85" s="8">
        <v>506</v>
      </c>
      <c r="E85" s="8">
        <v>562232</v>
      </c>
      <c r="F85" s="30">
        <f t="shared" si="3"/>
        <v>8487</v>
      </c>
      <c r="G85" s="30">
        <f t="shared" si="4"/>
        <v>553745</v>
      </c>
      <c r="H85" s="31">
        <f t="shared" si="5"/>
        <v>1.5326549223920758</v>
      </c>
      <c r="I85" s="3">
        <v>3.5131404829323132</v>
      </c>
      <c r="J85" s="8">
        <v>20028</v>
      </c>
    </row>
    <row r="86" spans="1:10" x14ac:dyDescent="0.3">
      <c r="A86" s="6" t="s">
        <v>159</v>
      </c>
      <c r="B86" s="3" t="s">
        <v>541</v>
      </c>
      <c r="C86" s="8">
        <v>7007</v>
      </c>
      <c r="D86" s="8">
        <v>568</v>
      </c>
      <c r="E86" s="8">
        <v>568671</v>
      </c>
      <c r="F86" s="30">
        <f t="shared" si="3"/>
        <v>6439</v>
      </c>
      <c r="G86" s="30">
        <f t="shared" si="4"/>
        <v>562232</v>
      </c>
      <c r="H86" s="31">
        <f t="shared" si="5"/>
        <v>1.145256762332987</v>
      </c>
      <c r="I86" s="3">
        <v>11.50507059442103</v>
      </c>
      <c r="J86" s="8">
        <v>22448</v>
      </c>
    </row>
    <row r="87" spans="1:10" x14ac:dyDescent="0.3">
      <c r="A87" s="6" t="s">
        <v>159</v>
      </c>
      <c r="B87" s="3" t="s">
        <v>541</v>
      </c>
      <c r="C87" s="8">
        <v>6542</v>
      </c>
      <c r="D87" s="8">
        <v>539</v>
      </c>
      <c r="E87" s="8">
        <v>574674</v>
      </c>
      <c r="F87" s="30">
        <f t="shared" si="3"/>
        <v>6003</v>
      </c>
      <c r="G87" s="30">
        <f t="shared" si="4"/>
        <v>568671</v>
      </c>
      <c r="H87" s="31">
        <f t="shared" si="5"/>
        <v>1.0556191541330575</v>
      </c>
      <c r="I87" s="3">
        <v>6.4069368024305948</v>
      </c>
      <c r="J87" s="8">
        <v>55253</v>
      </c>
    </row>
    <row r="88" spans="1:10" x14ac:dyDescent="0.3">
      <c r="A88" s="6" t="s">
        <v>159</v>
      </c>
      <c r="B88" s="3" t="s">
        <v>542</v>
      </c>
      <c r="C88" s="8">
        <v>7356</v>
      </c>
      <c r="D88" s="8">
        <v>904</v>
      </c>
      <c r="E88" s="8">
        <v>581126</v>
      </c>
      <c r="F88" s="30">
        <f t="shared" si="3"/>
        <v>6452</v>
      </c>
      <c r="G88" s="30">
        <f t="shared" si="4"/>
        <v>574674</v>
      </c>
      <c r="H88" s="31">
        <f t="shared" si="5"/>
        <v>1.1227234919275972</v>
      </c>
      <c r="I88" s="3">
        <v>17.560907617280929</v>
      </c>
      <c r="J88" s="8">
        <v>44051</v>
      </c>
    </row>
    <row r="89" spans="1:10" x14ac:dyDescent="0.3">
      <c r="A89" s="6" t="s">
        <v>159</v>
      </c>
      <c r="B89" s="3" t="s">
        <v>542</v>
      </c>
      <c r="C89" s="8">
        <v>9433</v>
      </c>
      <c r="D89" s="8">
        <v>1073</v>
      </c>
      <c r="E89" s="8">
        <v>589486</v>
      </c>
      <c r="F89" s="30">
        <f t="shared" si="3"/>
        <v>8360</v>
      </c>
      <c r="G89" s="30">
        <f t="shared" si="4"/>
        <v>581126</v>
      </c>
      <c r="H89" s="31">
        <f t="shared" si="5"/>
        <v>1.4385864683390521</v>
      </c>
      <c r="I89" s="3">
        <v>7.2934726185185053</v>
      </c>
      <c r="J89" s="8">
        <v>59811</v>
      </c>
    </row>
    <row r="90" spans="1:10" x14ac:dyDescent="0.3">
      <c r="A90" s="6" t="s">
        <v>231</v>
      </c>
      <c r="B90" s="3" t="s">
        <v>44</v>
      </c>
      <c r="C90" s="8">
        <v>8380</v>
      </c>
      <c r="D90" s="8">
        <v>1162</v>
      </c>
      <c r="E90" s="8">
        <v>596704</v>
      </c>
      <c r="F90" s="30">
        <f t="shared" si="3"/>
        <v>7218</v>
      </c>
      <c r="G90" s="30">
        <f t="shared" si="4"/>
        <v>589486</v>
      </c>
      <c r="H90" s="31">
        <f t="shared" si="5"/>
        <v>1.2244565604611475</v>
      </c>
      <c r="I90" s="3">
        <v>18.05853488496809</v>
      </c>
      <c r="J90" s="8">
        <v>40447</v>
      </c>
    </row>
    <row r="91" spans="1:10" x14ac:dyDescent="0.3">
      <c r="A91" s="6" t="s">
        <v>231</v>
      </c>
      <c r="B91" s="3" t="s">
        <v>541</v>
      </c>
      <c r="C91" s="8">
        <v>3385</v>
      </c>
      <c r="D91" s="8">
        <v>329</v>
      </c>
      <c r="E91" s="8">
        <v>599760</v>
      </c>
      <c r="F91" s="30">
        <f t="shared" si="3"/>
        <v>3056</v>
      </c>
      <c r="G91" s="30">
        <f t="shared" si="4"/>
        <v>596704</v>
      </c>
      <c r="H91" s="31">
        <f t="shared" si="5"/>
        <v>0.51214672601490852</v>
      </c>
      <c r="I91" s="3">
        <v>17.61788048552755</v>
      </c>
      <c r="J91" s="8">
        <v>28394</v>
      </c>
    </row>
    <row r="92" spans="1:10" x14ac:dyDescent="0.3">
      <c r="A92" s="6" t="s">
        <v>231</v>
      </c>
      <c r="B92" s="3" t="s">
        <v>542</v>
      </c>
      <c r="C92" s="8">
        <v>5268</v>
      </c>
      <c r="D92" s="8">
        <v>326</v>
      </c>
      <c r="E92" s="8">
        <v>604702</v>
      </c>
      <c r="F92" s="30">
        <f t="shared" si="3"/>
        <v>4942</v>
      </c>
      <c r="G92" s="30">
        <f t="shared" si="4"/>
        <v>599760</v>
      </c>
      <c r="H92" s="31">
        <f t="shared" si="5"/>
        <v>0.82399626517273583</v>
      </c>
      <c r="I92" s="3">
        <v>23.435841125050029</v>
      </c>
      <c r="J92" s="8">
        <v>44501</v>
      </c>
    </row>
    <row r="93" spans="1:10" x14ac:dyDescent="0.3">
      <c r="A93" s="6" t="s">
        <v>231</v>
      </c>
      <c r="B93" s="3" t="s">
        <v>44</v>
      </c>
      <c r="C93" s="8">
        <v>1671</v>
      </c>
      <c r="D93" s="8">
        <v>202</v>
      </c>
      <c r="E93" s="8">
        <v>606171</v>
      </c>
      <c r="F93" s="30">
        <f t="shared" si="3"/>
        <v>1469</v>
      </c>
      <c r="G93" s="30">
        <f t="shared" si="4"/>
        <v>604702</v>
      </c>
      <c r="H93" s="31">
        <f t="shared" si="5"/>
        <v>0.24292957522879041</v>
      </c>
      <c r="I93" s="3">
        <v>15.150015424690389</v>
      </c>
      <c r="J93" s="8">
        <v>40254</v>
      </c>
    </row>
    <row r="94" spans="1:10" x14ac:dyDescent="0.3">
      <c r="A94" s="6" t="s">
        <v>515</v>
      </c>
      <c r="B94" s="3" t="s">
        <v>44</v>
      </c>
      <c r="C94" s="8">
        <v>1163</v>
      </c>
      <c r="D94" s="8">
        <v>146</v>
      </c>
      <c r="E94" s="8">
        <v>607188</v>
      </c>
      <c r="F94" s="30">
        <f t="shared" si="3"/>
        <v>1017</v>
      </c>
      <c r="G94" s="30">
        <f t="shared" si="4"/>
        <v>606171</v>
      </c>
      <c r="H94" s="31">
        <f t="shared" si="5"/>
        <v>0.16777443988577481</v>
      </c>
      <c r="I94" s="3">
        <v>21.77776899411715</v>
      </c>
      <c r="J94" s="8">
        <v>28509</v>
      </c>
    </row>
    <row r="95" spans="1:10" x14ac:dyDescent="0.3">
      <c r="A95" s="6" t="s">
        <v>515</v>
      </c>
      <c r="B95" s="3" t="s">
        <v>44</v>
      </c>
      <c r="C95" s="8">
        <v>9656</v>
      </c>
      <c r="D95" s="8">
        <v>1024</v>
      </c>
      <c r="E95" s="8">
        <v>615820</v>
      </c>
      <c r="F95" s="30">
        <f t="shared" si="3"/>
        <v>8632</v>
      </c>
      <c r="G95" s="30">
        <f t="shared" si="4"/>
        <v>607188</v>
      </c>
      <c r="H95" s="31">
        <f t="shared" si="5"/>
        <v>1.4216354736918384</v>
      </c>
      <c r="I95" s="3">
        <v>8.7252768666168681</v>
      </c>
      <c r="J95" s="8">
        <v>58998</v>
      </c>
    </row>
    <row r="96" spans="1:10" x14ac:dyDescent="0.3">
      <c r="A96" s="6" t="s">
        <v>515</v>
      </c>
      <c r="B96" s="3" t="s">
        <v>542</v>
      </c>
      <c r="C96" s="8">
        <v>5592</v>
      </c>
      <c r="D96" s="8">
        <v>710</v>
      </c>
      <c r="E96" s="8">
        <v>620702</v>
      </c>
      <c r="F96" s="30">
        <f t="shared" si="3"/>
        <v>4882</v>
      </c>
      <c r="G96" s="30">
        <f t="shared" si="4"/>
        <v>615820</v>
      </c>
      <c r="H96" s="31">
        <f t="shared" si="5"/>
        <v>0.79276411938553482</v>
      </c>
      <c r="I96" s="3">
        <v>9.07118069540617</v>
      </c>
      <c r="J96" s="8">
        <v>24472</v>
      </c>
    </row>
    <row r="97" spans="1:10" x14ac:dyDescent="0.3">
      <c r="A97" s="6" t="s">
        <v>515</v>
      </c>
      <c r="B97" s="3" t="s">
        <v>541</v>
      </c>
      <c r="C97" s="8">
        <v>5795</v>
      </c>
      <c r="D97" s="8">
        <v>575</v>
      </c>
      <c r="E97" s="8">
        <v>625922</v>
      </c>
      <c r="F97" s="30">
        <f t="shared" si="3"/>
        <v>5220</v>
      </c>
      <c r="G97" s="30">
        <f t="shared" si="4"/>
        <v>620702</v>
      </c>
      <c r="H97" s="31">
        <f t="shared" si="5"/>
        <v>0.84098327377711035</v>
      </c>
      <c r="I97" s="3">
        <v>3.0908004511744269</v>
      </c>
      <c r="J97" s="8">
        <v>55657</v>
      </c>
    </row>
    <row r="98" spans="1:10" x14ac:dyDescent="0.3">
      <c r="A98" s="6" t="s">
        <v>52</v>
      </c>
      <c r="B98" s="3" t="s">
        <v>21</v>
      </c>
      <c r="C98" s="8">
        <v>5798</v>
      </c>
      <c r="D98" s="8">
        <v>592</v>
      </c>
      <c r="E98" s="8">
        <v>631128</v>
      </c>
      <c r="F98" s="30">
        <f t="shared" si="3"/>
        <v>5206</v>
      </c>
      <c r="G98" s="30">
        <f t="shared" si="4"/>
        <v>625922</v>
      </c>
      <c r="H98" s="31">
        <f t="shared" si="5"/>
        <v>0.83173302743792354</v>
      </c>
      <c r="I98" s="3">
        <v>1.6774727155188811</v>
      </c>
      <c r="J98" s="8">
        <v>13471</v>
      </c>
    </row>
    <row r="99" spans="1:10" x14ac:dyDescent="0.3">
      <c r="A99" s="6" t="s">
        <v>52</v>
      </c>
      <c r="B99" s="3" t="s">
        <v>44</v>
      </c>
      <c r="C99" s="8">
        <v>7036</v>
      </c>
      <c r="D99" s="8">
        <v>652</v>
      </c>
      <c r="E99" s="8">
        <v>637512</v>
      </c>
      <c r="F99" s="30">
        <f t="shared" si="3"/>
        <v>6384</v>
      </c>
      <c r="G99" s="30">
        <f t="shared" si="4"/>
        <v>631128</v>
      </c>
      <c r="H99" s="31">
        <f t="shared" si="5"/>
        <v>1.0115222268699853</v>
      </c>
      <c r="I99" s="3">
        <v>3.5705994553828009</v>
      </c>
      <c r="J99" s="8">
        <v>51796</v>
      </c>
    </row>
    <row r="100" spans="1:10" x14ac:dyDescent="0.3">
      <c r="A100" s="6" t="s">
        <v>52</v>
      </c>
      <c r="B100" s="3" t="s">
        <v>542</v>
      </c>
      <c r="C100" s="8">
        <v>3355</v>
      </c>
      <c r="D100" s="8">
        <v>176</v>
      </c>
      <c r="E100" s="8">
        <v>640691</v>
      </c>
      <c r="F100" s="30">
        <f t="shared" si="3"/>
        <v>3179</v>
      </c>
      <c r="G100" s="30">
        <f t="shared" si="4"/>
        <v>637512</v>
      </c>
      <c r="H100" s="31">
        <f t="shared" si="5"/>
        <v>0.49865728017668687</v>
      </c>
      <c r="I100" s="3">
        <v>12.426427091999111</v>
      </c>
      <c r="J100" s="8">
        <v>40268</v>
      </c>
    </row>
    <row r="101" spans="1:10" x14ac:dyDescent="0.3">
      <c r="A101" s="6" t="s">
        <v>52</v>
      </c>
      <c r="B101" s="3" t="s">
        <v>542</v>
      </c>
      <c r="C101" s="8">
        <v>6887</v>
      </c>
      <c r="D101" s="8">
        <v>418</v>
      </c>
      <c r="E101" s="8">
        <v>647160</v>
      </c>
      <c r="F101" s="30">
        <f t="shared" si="3"/>
        <v>6469</v>
      </c>
      <c r="G101" s="30">
        <f t="shared" si="4"/>
        <v>640691</v>
      </c>
      <c r="H101" s="31">
        <f t="shared" si="5"/>
        <v>1.0096910991413959</v>
      </c>
      <c r="I101" s="3">
        <v>20.240280610668151</v>
      </c>
      <c r="J101" s="8">
        <v>18329</v>
      </c>
    </row>
    <row r="102" spans="1:10" x14ac:dyDescent="0.3">
      <c r="A102" s="6" t="s">
        <v>450</v>
      </c>
      <c r="B102" s="3" t="s">
        <v>21</v>
      </c>
      <c r="C102" s="8">
        <v>8961</v>
      </c>
      <c r="D102" s="8">
        <v>476</v>
      </c>
      <c r="E102" s="8">
        <v>655645</v>
      </c>
      <c r="F102" s="30">
        <f t="shared" si="3"/>
        <v>8485</v>
      </c>
      <c r="G102" s="30">
        <f t="shared" si="4"/>
        <v>647160</v>
      </c>
      <c r="H102" s="31">
        <f t="shared" si="5"/>
        <v>1.3111131713950182</v>
      </c>
      <c r="I102" s="3">
        <v>15.458517947974901</v>
      </c>
      <c r="J102" s="8">
        <v>44865</v>
      </c>
    </row>
    <row r="103" spans="1:10" x14ac:dyDescent="0.3">
      <c r="A103" s="6" t="s">
        <v>450</v>
      </c>
      <c r="B103" s="3" t="s">
        <v>21</v>
      </c>
      <c r="C103" s="8">
        <v>6827</v>
      </c>
      <c r="D103" s="8">
        <v>775</v>
      </c>
      <c r="E103" s="8">
        <v>661697</v>
      </c>
      <c r="F103" s="30">
        <f t="shared" si="3"/>
        <v>6052</v>
      </c>
      <c r="G103" s="30">
        <f t="shared" si="4"/>
        <v>655645</v>
      </c>
      <c r="H103" s="31">
        <f t="shared" si="5"/>
        <v>0.92306049767785914</v>
      </c>
      <c r="I103" s="3">
        <v>15.96622018839439</v>
      </c>
      <c r="J103" s="8">
        <v>56850</v>
      </c>
    </row>
    <row r="104" spans="1:10" x14ac:dyDescent="0.3">
      <c r="A104" s="6" t="s">
        <v>450</v>
      </c>
      <c r="B104" s="3" t="s">
        <v>542</v>
      </c>
      <c r="C104" s="8">
        <v>9737</v>
      </c>
      <c r="D104" s="8">
        <v>792</v>
      </c>
      <c r="E104" s="8">
        <v>670642</v>
      </c>
      <c r="F104" s="30">
        <f t="shared" si="3"/>
        <v>8945</v>
      </c>
      <c r="G104" s="30">
        <f t="shared" si="4"/>
        <v>661697</v>
      </c>
      <c r="H104" s="31">
        <f t="shared" si="5"/>
        <v>1.3518271958313246</v>
      </c>
      <c r="I104" s="3">
        <v>5.301785453341723</v>
      </c>
      <c r="J104" s="8">
        <v>56698</v>
      </c>
    </row>
    <row r="105" spans="1:10" x14ac:dyDescent="0.3">
      <c r="A105" s="6" t="s">
        <v>450</v>
      </c>
      <c r="B105" s="3" t="s">
        <v>541</v>
      </c>
      <c r="C105" s="8">
        <v>5719</v>
      </c>
      <c r="D105" s="8">
        <v>576</v>
      </c>
      <c r="E105" s="8">
        <v>675785</v>
      </c>
      <c r="F105" s="30">
        <f t="shared" si="3"/>
        <v>5143</v>
      </c>
      <c r="G105" s="30">
        <f t="shared" si="4"/>
        <v>670642</v>
      </c>
      <c r="H105" s="31">
        <f t="shared" si="5"/>
        <v>0.76687711178244133</v>
      </c>
      <c r="I105" s="3">
        <v>10.21656296011305</v>
      </c>
      <c r="J105" s="8">
        <v>38272</v>
      </c>
    </row>
    <row r="106" spans="1:10" x14ac:dyDescent="0.3">
      <c r="A106" s="6" t="s">
        <v>516</v>
      </c>
      <c r="B106" s="3" t="s">
        <v>21</v>
      </c>
      <c r="C106" s="8">
        <v>1593</v>
      </c>
      <c r="D106" s="8">
        <v>224</v>
      </c>
      <c r="E106" s="8">
        <v>677154</v>
      </c>
      <c r="F106" s="30">
        <f t="shared" si="3"/>
        <v>1369</v>
      </c>
      <c r="G106" s="30">
        <f t="shared" si="4"/>
        <v>675785</v>
      </c>
      <c r="H106" s="31">
        <f t="shared" si="5"/>
        <v>0.20257922268177006</v>
      </c>
      <c r="I106" s="3">
        <v>4.1495730660972248</v>
      </c>
      <c r="J106" s="8">
        <v>52845</v>
      </c>
    </row>
    <row r="107" spans="1:10" x14ac:dyDescent="0.3">
      <c r="A107" s="6" t="s">
        <v>516</v>
      </c>
      <c r="B107" s="3" t="s">
        <v>542</v>
      </c>
      <c r="C107" s="8">
        <v>5839</v>
      </c>
      <c r="D107" s="8">
        <v>437</v>
      </c>
      <c r="E107" s="8">
        <v>682556</v>
      </c>
      <c r="F107" s="30">
        <f t="shared" si="3"/>
        <v>5402</v>
      </c>
      <c r="G107" s="30">
        <f t="shared" si="4"/>
        <v>677154</v>
      </c>
      <c r="H107" s="31">
        <f t="shared" si="5"/>
        <v>0.79775058553888767</v>
      </c>
      <c r="I107" s="3">
        <v>17.44750613869045</v>
      </c>
      <c r="J107" s="8">
        <v>16397</v>
      </c>
    </row>
    <row r="108" spans="1:10" x14ac:dyDescent="0.3">
      <c r="A108" s="6" t="s">
        <v>516</v>
      </c>
      <c r="B108" s="3" t="s">
        <v>21</v>
      </c>
      <c r="C108" s="8">
        <v>8394</v>
      </c>
      <c r="D108" s="8">
        <v>764</v>
      </c>
      <c r="E108" s="8">
        <v>690186</v>
      </c>
      <c r="F108" s="30">
        <f t="shared" si="3"/>
        <v>7630</v>
      </c>
      <c r="G108" s="30">
        <f t="shared" si="4"/>
        <v>682556</v>
      </c>
      <c r="H108" s="31">
        <f t="shared" si="5"/>
        <v>1.1178569963490177</v>
      </c>
      <c r="I108" s="3">
        <v>6.3556780346167558</v>
      </c>
      <c r="J108" s="8">
        <v>42373</v>
      </c>
    </row>
    <row r="109" spans="1:10" x14ac:dyDescent="0.3">
      <c r="A109" s="6" t="s">
        <v>516</v>
      </c>
      <c r="B109" s="3" t="s">
        <v>541</v>
      </c>
      <c r="C109" s="8">
        <v>4493</v>
      </c>
      <c r="D109" s="8">
        <v>564</v>
      </c>
      <c r="E109" s="8">
        <v>694115</v>
      </c>
      <c r="F109" s="30">
        <f t="shared" si="3"/>
        <v>3929</v>
      </c>
      <c r="G109" s="30">
        <f t="shared" si="4"/>
        <v>690186</v>
      </c>
      <c r="H109" s="31">
        <f t="shared" si="5"/>
        <v>0.56926683531685662</v>
      </c>
      <c r="I109" s="3">
        <v>16.625487131094989</v>
      </c>
      <c r="J109" s="8">
        <v>45525</v>
      </c>
    </row>
    <row r="110" spans="1:10" x14ac:dyDescent="0.3">
      <c r="A110" s="6" t="s">
        <v>176</v>
      </c>
      <c r="B110" s="3" t="s">
        <v>44</v>
      </c>
      <c r="C110" s="8">
        <v>7164</v>
      </c>
      <c r="D110" s="8">
        <v>522</v>
      </c>
      <c r="E110" s="8">
        <v>700757</v>
      </c>
      <c r="F110" s="30">
        <f t="shared" si="3"/>
        <v>6642</v>
      </c>
      <c r="G110" s="30">
        <f t="shared" si="4"/>
        <v>694115</v>
      </c>
      <c r="H110" s="31">
        <f t="shared" si="5"/>
        <v>0.95690195428711389</v>
      </c>
      <c r="I110" s="3">
        <v>13.449169969047761</v>
      </c>
      <c r="J110" s="8">
        <v>34570</v>
      </c>
    </row>
    <row r="111" spans="1:10" x14ac:dyDescent="0.3">
      <c r="A111" s="6" t="s">
        <v>176</v>
      </c>
      <c r="B111" s="3" t="s">
        <v>21</v>
      </c>
      <c r="C111" s="8">
        <v>3672</v>
      </c>
      <c r="D111" s="8">
        <v>211</v>
      </c>
      <c r="E111" s="8">
        <v>704218</v>
      </c>
      <c r="F111" s="30">
        <f t="shared" si="3"/>
        <v>3461</v>
      </c>
      <c r="G111" s="30">
        <f t="shared" si="4"/>
        <v>700757</v>
      </c>
      <c r="H111" s="31">
        <f t="shared" si="5"/>
        <v>0.49389445984842106</v>
      </c>
      <c r="I111" s="3">
        <v>12.35057894004413</v>
      </c>
      <c r="J111" s="8">
        <v>28284</v>
      </c>
    </row>
    <row r="112" spans="1:10" x14ac:dyDescent="0.3">
      <c r="A112" s="6" t="s">
        <v>176</v>
      </c>
      <c r="B112" s="3" t="s">
        <v>541</v>
      </c>
      <c r="C112" s="8">
        <v>5200</v>
      </c>
      <c r="D112" s="8">
        <v>410</v>
      </c>
      <c r="E112" s="8">
        <v>709008</v>
      </c>
      <c r="F112" s="30">
        <f t="shared" si="3"/>
        <v>4790</v>
      </c>
      <c r="G112" s="30">
        <f t="shared" si="4"/>
        <v>704218</v>
      </c>
      <c r="H112" s="31">
        <f t="shared" si="5"/>
        <v>0.68018710115333603</v>
      </c>
      <c r="I112" s="3">
        <v>12.913394489201821</v>
      </c>
      <c r="J112" s="8">
        <v>28994</v>
      </c>
    </row>
    <row r="113" spans="1:10" x14ac:dyDescent="0.3">
      <c r="A113" s="6" t="s">
        <v>176</v>
      </c>
      <c r="B113" s="3" t="s">
        <v>542</v>
      </c>
      <c r="C113" s="8">
        <v>1016</v>
      </c>
      <c r="D113" s="8">
        <v>67</v>
      </c>
      <c r="E113" s="8">
        <v>709957</v>
      </c>
      <c r="F113" s="30">
        <f t="shared" si="3"/>
        <v>949</v>
      </c>
      <c r="G113" s="30">
        <f t="shared" si="4"/>
        <v>709008</v>
      </c>
      <c r="H113" s="31">
        <f t="shared" si="5"/>
        <v>0.13384898336831177</v>
      </c>
      <c r="I113" s="3">
        <v>20.774215903216671</v>
      </c>
      <c r="J113" s="8">
        <v>33284</v>
      </c>
    </row>
    <row r="114" spans="1:10" x14ac:dyDescent="0.3">
      <c r="A114" s="6" t="s">
        <v>87</v>
      </c>
      <c r="B114" s="3" t="s">
        <v>21</v>
      </c>
      <c r="C114" s="8">
        <v>4191</v>
      </c>
      <c r="D114" s="8">
        <v>599</v>
      </c>
      <c r="E114" s="8">
        <v>713549</v>
      </c>
      <c r="F114" s="30">
        <f t="shared" si="3"/>
        <v>3592</v>
      </c>
      <c r="G114" s="30">
        <f t="shared" si="4"/>
        <v>709957</v>
      </c>
      <c r="H114" s="31">
        <f t="shared" si="5"/>
        <v>0.50594613476590833</v>
      </c>
      <c r="I114" s="3">
        <v>11.56416728213479</v>
      </c>
      <c r="J114" s="8">
        <v>27833</v>
      </c>
    </row>
    <row r="115" spans="1:10" x14ac:dyDescent="0.3">
      <c r="A115" s="6" t="s">
        <v>87</v>
      </c>
      <c r="B115" s="3" t="s">
        <v>21</v>
      </c>
      <c r="C115" s="8">
        <v>1392</v>
      </c>
      <c r="D115" s="8">
        <v>182</v>
      </c>
      <c r="E115" s="8">
        <v>714759</v>
      </c>
      <c r="F115" s="30">
        <f t="shared" si="3"/>
        <v>1210</v>
      </c>
      <c r="G115" s="30">
        <f t="shared" si="4"/>
        <v>713549</v>
      </c>
      <c r="H115" s="31">
        <f t="shared" si="5"/>
        <v>0.16957489955139732</v>
      </c>
      <c r="I115" s="3">
        <v>5.9603306848881932</v>
      </c>
      <c r="J115" s="8">
        <v>35122</v>
      </c>
    </row>
    <row r="116" spans="1:10" x14ac:dyDescent="0.3">
      <c r="A116" s="6" t="s">
        <v>87</v>
      </c>
      <c r="B116" s="3" t="s">
        <v>542</v>
      </c>
      <c r="C116" s="8">
        <v>9616</v>
      </c>
      <c r="D116" s="8">
        <v>1089</v>
      </c>
      <c r="E116" s="8">
        <v>723286</v>
      </c>
      <c r="F116" s="30">
        <f t="shared" si="3"/>
        <v>8527</v>
      </c>
      <c r="G116" s="30">
        <f t="shared" si="4"/>
        <v>714759</v>
      </c>
      <c r="H116" s="31">
        <f t="shared" si="5"/>
        <v>1.1929895251406417</v>
      </c>
      <c r="I116" s="3">
        <v>19.25863351426683</v>
      </c>
      <c r="J116" s="8">
        <v>15017</v>
      </c>
    </row>
    <row r="117" spans="1:10" x14ac:dyDescent="0.3">
      <c r="A117" s="6" t="s">
        <v>87</v>
      </c>
      <c r="B117" s="3" t="s">
        <v>44</v>
      </c>
      <c r="C117" s="8">
        <v>7272</v>
      </c>
      <c r="D117" s="8">
        <v>997</v>
      </c>
      <c r="E117" s="8">
        <v>729561</v>
      </c>
      <c r="F117" s="30">
        <f t="shared" si="3"/>
        <v>6275</v>
      </c>
      <c r="G117" s="30">
        <f t="shared" si="4"/>
        <v>723286</v>
      </c>
      <c r="H117" s="31">
        <f t="shared" si="5"/>
        <v>0.86756829248734246</v>
      </c>
      <c r="I117" s="3">
        <v>13.428486445958599</v>
      </c>
      <c r="J117" s="8">
        <v>26370</v>
      </c>
    </row>
    <row r="118" spans="1:10" x14ac:dyDescent="0.3">
      <c r="A118" s="6" t="s">
        <v>13</v>
      </c>
      <c r="B118" s="3" t="s">
        <v>542</v>
      </c>
      <c r="C118" s="8">
        <v>1571</v>
      </c>
      <c r="D118" s="8">
        <v>204</v>
      </c>
      <c r="E118" s="8">
        <v>730928</v>
      </c>
      <c r="F118" s="30">
        <f t="shared" si="3"/>
        <v>1367</v>
      </c>
      <c r="G118" s="30">
        <f t="shared" si="4"/>
        <v>729561</v>
      </c>
      <c r="H118" s="31">
        <f t="shared" si="5"/>
        <v>0.18737295442053509</v>
      </c>
      <c r="I118" s="3">
        <v>19.449384891535139</v>
      </c>
      <c r="J118" s="8">
        <v>39252</v>
      </c>
    </row>
    <row r="119" spans="1:10" x14ac:dyDescent="0.3">
      <c r="A119" s="6" t="s">
        <v>13</v>
      </c>
      <c r="B119" s="3" t="s">
        <v>21</v>
      </c>
      <c r="C119" s="8">
        <v>4631</v>
      </c>
      <c r="D119" s="8">
        <v>317</v>
      </c>
      <c r="E119" s="8">
        <v>735242</v>
      </c>
      <c r="F119" s="30">
        <f t="shared" si="3"/>
        <v>4314</v>
      </c>
      <c r="G119" s="30">
        <f t="shared" si="4"/>
        <v>730928</v>
      </c>
      <c r="H119" s="31">
        <f t="shared" si="5"/>
        <v>0.59020861151850801</v>
      </c>
      <c r="I119" s="3">
        <v>1.381177897889402</v>
      </c>
      <c r="J119" s="8">
        <v>17999</v>
      </c>
    </row>
    <row r="120" spans="1:10" x14ac:dyDescent="0.3">
      <c r="A120" s="6" t="s">
        <v>13</v>
      </c>
      <c r="B120" s="3" t="s">
        <v>542</v>
      </c>
      <c r="C120" s="8">
        <v>7172</v>
      </c>
      <c r="D120" s="8">
        <v>998</v>
      </c>
      <c r="E120" s="8">
        <v>741416</v>
      </c>
      <c r="F120" s="30">
        <f t="shared" si="3"/>
        <v>6174</v>
      </c>
      <c r="G120" s="30">
        <f t="shared" si="4"/>
        <v>735242</v>
      </c>
      <c r="H120" s="31">
        <f t="shared" si="5"/>
        <v>0.83972351960306946</v>
      </c>
      <c r="I120" s="3">
        <v>18.0667803230575</v>
      </c>
      <c r="J120" s="8">
        <v>32436</v>
      </c>
    </row>
    <row r="121" spans="1:10" x14ac:dyDescent="0.3">
      <c r="A121" s="6" t="s">
        <v>13</v>
      </c>
      <c r="B121" s="3" t="s">
        <v>541</v>
      </c>
      <c r="C121" s="8">
        <v>8177</v>
      </c>
      <c r="D121" s="8">
        <v>849</v>
      </c>
      <c r="E121" s="8">
        <v>748744</v>
      </c>
      <c r="F121" s="30">
        <f t="shared" si="3"/>
        <v>7328</v>
      </c>
      <c r="G121" s="30">
        <f t="shared" si="4"/>
        <v>741416</v>
      </c>
      <c r="H121" s="31">
        <f t="shared" si="5"/>
        <v>0.98837899370933457</v>
      </c>
      <c r="I121" s="3">
        <v>10.34986590877523</v>
      </c>
      <c r="J121" s="8">
        <v>52963</v>
      </c>
    </row>
    <row r="122" spans="1:10" x14ac:dyDescent="0.3">
      <c r="A122" s="6" t="s">
        <v>517</v>
      </c>
      <c r="B122" s="3" t="s">
        <v>542</v>
      </c>
      <c r="C122" s="8">
        <v>9433</v>
      </c>
      <c r="D122" s="8">
        <v>1233</v>
      </c>
      <c r="E122" s="8">
        <v>756944</v>
      </c>
      <c r="F122" s="30">
        <f t="shared" si="3"/>
        <v>8200</v>
      </c>
      <c r="G122" s="30">
        <f t="shared" si="4"/>
        <v>748744</v>
      </c>
      <c r="H122" s="31">
        <f t="shared" si="5"/>
        <v>1.0951673736283696</v>
      </c>
      <c r="I122" s="3">
        <v>11.391727789638329</v>
      </c>
      <c r="J122" s="8">
        <v>12096</v>
      </c>
    </row>
    <row r="123" spans="1:10" x14ac:dyDescent="0.3">
      <c r="A123" s="6" t="s">
        <v>517</v>
      </c>
      <c r="B123" s="3" t="s">
        <v>21</v>
      </c>
      <c r="C123" s="8">
        <v>4897</v>
      </c>
      <c r="D123" s="8">
        <v>683</v>
      </c>
      <c r="E123" s="8">
        <v>761158</v>
      </c>
      <c r="F123" s="30">
        <f t="shared" si="3"/>
        <v>4214</v>
      </c>
      <c r="G123" s="30">
        <f t="shared" si="4"/>
        <v>756944</v>
      </c>
      <c r="H123" s="31">
        <f t="shared" si="5"/>
        <v>0.55671225348242404</v>
      </c>
      <c r="I123" s="3">
        <v>15.06231294947961</v>
      </c>
      <c r="J123" s="8">
        <v>58201</v>
      </c>
    </row>
    <row r="124" spans="1:10" x14ac:dyDescent="0.3">
      <c r="A124" s="6" t="s">
        <v>517</v>
      </c>
      <c r="B124" s="3" t="s">
        <v>542</v>
      </c>
      <c r="C124" s="8">
        <v>9123</v>
      </c>
      <c r="D124" s="8">
        <v>746</v>
      </c>
      <c r="E124" s="8">
        <v>769535</v>
      </c>
      <c r="F124" s="30">
        <f t="shared" si="3"/>
        <v>8377</v>
      </c>
      <c r="G124" s="30">
        <f t="shared" si="4"/>
        <v>761158</v>
      </c>
      <c r="H124" s="31">
        <f t="shared" si="5"/>
        <v>1.1005599363075733</v>
      </c>
      <c r="I124" s="3">
        <v>6.3086149427901264</v>
      </c>
      <c r="J124" s="8">
        <v>35279</v>
      </c>
    </row>
    <row r="125" spans="1:10" x14ac:dyDescent="0.3">
      <c r="A125" s="6" t="s">
        <v>517</v>
      </c>
      <c r="B125" s="3" t="s">
        <v>44</v>
      </c>
      <c r="C125" s="8">
        <v>3279</v>
      </c>
      <c r="D125" s="8">
        <v>200</v>
      </c>
      <c r="E125" s="8">
        <v>772614</v>
      </c>
      <c r="F125" s="30">
        <f t="shared" si="3"/>
        <v>3079</v>
      </c>
      <c r="G125" s="30">
        <f t="shared" si="4"/>
        <v>769535</v>
      </c>
      <c r="H125" s="31">
        <f t="shared" si="5"/>
        <v>0.40011175580058084</v>
      </c>
      <c r="I125" s="3">
        <v>5.0212654702089274</v>
      </c>
      <c r="J125" s="8">
        <v>53363</v>
      </c>
    </row>
    <row r="126" spans="1:10" x14ac:dyDescent="0.3">
      <c r="A126" s="6" t="s">
        <v>97</v>
      </c>
      <c r="B126" s="3" t="s">
        <v>542</v>
      </c>
      <c r="C126" s="8">
        <v>9980</v>
      </c>
      <c r="D126" s="8">
        <v>726</v>
      </c>
      <c r="E126" s="8">
        <v>781868</v>
      </c>
      <c r="F126" s="30">
        <f t="shared" si="3"/>
        <v>9254</v>
      </c>
      <c r="G126" s="30">
        <f t="shared" si="4"/>
        <v>772614</v>
      </c>
      <c r="H126" s="31">
        <f t="shared" si="5"/>
        <v>1.1977520469471172</v>
      </c>
      <c r="I126" s="3">
        <v>4.0220344099003924</v>
      </c>
      <c r="J126" s="8">
        <v>58709</v>
      </c>
    </row>
    <row r="127" spans="1:10" x14ac:dyDescent="0.3">
      <c r="A127" s="6" t="s">
        <v>97</v>
      </c>
      <c r="B127" s="3" t="s">
        <v>44</v>
      </c>
      <c r="C127" s="8">
        <v>8451</v>
      </c>
      <c r="D127" s="8">
        <v>783</v>
      </c>
      <c r="E127" s="8">
        <v>789536</v>
      </c>
      <c r="F127" s="30">
        <f t="shared" si="3"/>
        <v>7668</v>
      </c>
      <c r="G127" s="30">
        <f t="shared" si="4"/>
        <v>781868</v>
      </c>
      <c r="H127" s="31">
        <f t="shared" si="5"/>
        <v>0.98072820476090594</v>
      </c>
      <c r="I127" s="3">
        <v>12.407287318121019</v>
      </c>
      <c r="J127" s="8">
        <v>36201</v>
      </c>
    </row>
    <row r="128" spans="1:10" x14ac:dyDescent="0.3">
      <c r="A128" s="6" t="s">
        <v>97</v>
      </c>
      <c r="B128" s="3" t="s">
        <v>541</v>
      </c>
      <c r="C128" s="8">
        <v>9906</v>
      </c>
      <c r="D128" s="8">
        <v>1305</v>
      </c>
      <c r="E128" s="8">
        <v>798137</v>
      </c>
      <c r="F128" s="30">
        <f t="shared" si="3"/>
        <v>8601</v>
      </c>
      <c r="G128" s="30">
        <f t="shared" si="4"/>
        <v>789536</v>
      </c>
      <c r="H128" s="31">
        <f t="shared" si="5"/>
        <v>1.08937401207798</v>
      </c>
      <c r="I128" s="3">
        <v>9.1811305577864442</v>
      </c>
      <c r="J128" s="8">
        <v>29715</v>
      </c>
    </row>
    <row r="129" spans="1:10" x14ac:dyDescent="0.3">
      <c r="A129" s="6" t="s">
        <v>97</v>
      </c>
      <c r="B129" s="3" t="s">
        <v>44</v>
      </c>
      <c r="C129" s="8">
        <v>1775</v>
      </c>
      <c r="D129" s="8">
        <v>241</v>
      </c>
      <c r="E129" s="8">
        <v>799671</v>
      </c>
      <c r="F129" s="30">
        <f t="shared" si="3"/>
        <v>1534</v>
      </c>
      <c r="G129" s="30">
        <f t="shared" si="4"/>
        <v>798137</v>
      </c>
      <c r="H129" s="31">
        <f t="shared" si="5"/>
        <v>0.1921975801146921</v>
      </c>
      <c r="I129" s="3">
        <v>8.1379717408784362</v>
      </c>
      <c r="J129" s="8">
        <v>39309</v>
      </c>
    </row>
    <row r="130" spans="1:10" x14ac:dyDescent="0.3">
      <c r="A130" s="6" t="s">
        <v>518</v>
      </c>
      <c r="B130" s="3" t="s">
        <v>542</v>
      </c>
      <c r="C130" s="8">
        <v>7869</v>
      </c>
      <c r="D130" s="8">
        <v>398</v>
      </c>
      <c r="E130" s="8">
        <v>807142</v>
      </c>
      <c r="F130" s="30">
        <f t="shared" si="3"/>
        <v>7471</v>
      </c>
      <c r="G130" s="30">
        <f t="shared" si="4"/>
        <v>799671</v>
      </c>
      <c r="H130" s="31">
        <f t="shared" si="5"/>
        <v>0.93425921410179946</v>
      </c>
      <c r="I130" s="3">
        <v>15.211945357818079</v>
      </c>
      <c r="J130" s="8">
        <v>25078</v>
      </c>
    </row>
    <row r="131" spans="1:10" x14ac:dyDescent="0.3">
      <c r="A131" s="6" t="s">
        <v>518</v>
      </c>
      <c r="B131" s="3" t="s">
        <v>21</v>
      </c>
      <c r="C131" s="8">
        <v>3247</v>
      </c>
      <c r="D131" s="8">
        <v>328</v>
      </c>
      <c r="E131" s="8">
        <v>810061</v>
      </c>
      <c r="F131" s="30">
        <f t="shared" ref="F131:F194" si="6">C131 -D131</f>
        <v>2919</v>
      </c>
      <c r="G131" s="30">
        <f t="shared" ref="G131:G194" si="7">E131 -F131</f>
        <v>807142</v>
      </c>
      <c r="H131" s="31">
        <f t="shared" ref="H131:H194" si="8">(F131/G131)*100</f>
        <v>0.36164640174839124</v>
      </c>
      <c r="I131" s="3">
        <v>13.941172331466399</v>
      </c>
      <c r="J131" s="8">
        <v>15105</v>
      </c>
    </row>
    <row r="132" spans="1:10" x14ac:dyDescent="0.3">
      <c r="A132" s="6" t="s">
        <v>518</v>
      </c>
      <c r="B132" s="3" t="s">
        <v>44</v>
      </c>
      <c r="C132" s="8">
        <v>8088</v>
      </c>
      <c r="D132" s="8">
        <v>742</v>
      </c>
      <c r="E132" s="8">
        <v>817407</v>
      </c>
      <c r="F132" s="30">
        <f t="shared" si="6"/>
        <v>7346</v>
      </c>
      <c r="G132" s="30">
        <f t="shared" si="7"/>
        <v>810061</v>
      </c>
      <c r="H132" s="31">
        <f t="shared" si="8"/>
        <v>0.90684528695987088</v>
      </c>
      <c r="I132" s="3">
        <v>14.664542877660701</v>
      </c>
      <c r="J132" s="8">
        <v>39312</v>
      </c>
    </row>
    <row r="133" spans="1:10" x14ac:dyDescent="0.3">
      <c r="A133" s="6" t="s">
        <v>518</v>
      </c>
      <c r="B133" s="3" t="s">
        <v>541</v>
      </c>
      <c r="C133" s="8">
        <v>1078</v>
      </c>
      <c r="D133" s="8">
        <v>77</v>
      </c>
      <c r="E133" s="8">
        <v>818408</v>
      </c>
      <c r="F133" s="30">
        <f t="shared" si="6"/>
        <v>1001</v>
      </c>
      <c r="G133" s="30">
        <f t="shared" si="7"/>
        <v>817407</v>
      </c>
      <c r="H133" s="31">
        <f t="shared" si="8"/>
        <v>0.12246041445693515</v>
      </c>
      <c r="I133" s="3">
        <v>18.236747441373989</v>
      </c>
      <c r="J133" s="8">
        <v>12839</v>
      </c>
    </row>
    <row r="134" spans="1:10" x14ac:dyDescent="0.3">
      <c r="A134" s="6" t="s">
        <v>519</v>
      </c>
      <c r="B134" s="3" t="s">
        <v>44</v>
      </c>
      <c r="C134" s="8">
        <v>9080</v>
      </c>
      <c r="D134" s="8">
        <v>562</v>
      </c>
      <c r="E134" s="8">
        <v>826926</v>
      </c>
      <c r="F134" s="30">
        <f t="shared" si="6"/>
        <v>8518</v>
      </c>
      <c r="G134" s="30">
        <f t="shared" si="7"/>
        <v>818408</v>
      </c>
      <c r="H134" s="31">
        <f t="shared" si="8"/>
        <v>1.040801165189001</v>
      </c>
      <c r="I134" s="3">
        <v>7.1083748727213809</v>
      </c>
      <c r="J134" s="8">
        <v>13384</v>
      </c>
    </row>
    <row r="135" spans="1:10" x14ac:dyDescent="0.3">
      <c r="A135" s="6" t="s">
        <v>519</v>
      </c>
      <c r="B135" s="3" t="s">
        <v>44</v>
      </c>
      <c r="C135" s="8">
        <v>8099</v>
      </c>
      <c r="D135" s="8">
        <v>678</v>
      </c>
      <c r="E135" s="8">
        <v>834347</v>
      </c>
      <c r="F135" s="30">
        <f t="shared" si="6"/>
        <v>7421</v>
      </c>
      <c r="G135" s="30">
        <f t="shared" si="7"/>
        <v>826926</v>
      </c>
      <c r="H135" s="31">
        <f t="shared" si="8"/>
        <v>0.89742008353830938</v>
      </c>
      <c r="I135" s="3">
        <v>7.6464588474579518</v>
      </c>
      <c r="J135" s="8">
        <v>53619</v>
      </c>
    </row>
    <row r="136" spans="1:10" x14ac:dyDescent="0.3">
      <c r="A136" s="6" t="s">
        <v>519</v>
      </c>
      <c r="B136" s="3" t="s">
        <v>44</v>
      </c>
      <c r="C136" s="8">
        <v>4926</v>
      </c>
      <c r="D136" s="8">
        <v>710</v>
      </c>
      <c r="E136" s="8">
        <v>838563</v>
      </c>
      <c r="F136" s="30">
        <f t="shared" si="6"/>
        <v>4216</v>
      </c>
      <c r="G136" s="30">
        <f t="shared" si="7"/>
        <v>834347</v>
      </c>
      <c r="H136" s="31">
        <f t="shared" si="8"/>
        <v>0.50530534657642445</v>
      </c>
      <c r="I136" s="3">
        <v>12.96217457722318</v>
      </c>
      <c r="J136" s="8">
        <v>52821</v>
      </c>
    </row>
    <row r="137" spans="1:10" x14ac:dyDescent="0.3">
      <c r="A137" s="6" t="s">
        <v>519</v>
      </c>
      <c r="B137" s="3" t="s">
        <v>541</v>
      </c>
      <c r="C137" s="8">
        <v>8340</v>
      </c>
      <c r="D137" s="8">
        <v>686</v>
      </c>
      <c r="E137" s="8">
        <v>846217</v>
      </c>
      <c r="F137" s="30">
        <f t="shared" si="6"/>
        <v>7654</v>
      </c>
      <c r="G137" s="30">
        <f t="shared" si="7"/>
        <v>838563</v>
      </c>
      <c r="H137" s="31">
        <f t="shared" si="8"/>
        <v>0.91275193396322052</v>
      </c>
      <c r="I137" s="3">
        <v>7.201344336027284</v>
      </c>
      <c r="J137" s="8">
        <v>23493</v>
      </c>
    </row>
    <row r="138" spans="1:10" x14ac:dyDescent="0.3">
      <c r="A138" s="6" t="s">
        <v>179</v>
      </c>
      <c r="B138" s="3" t="s">
        <v>542</v>
      </c>
      <c r="C138" s="8">
        <v>8083</v>
      </c>
      <c r="D138" s="8">
        <v>823</v>
      </c>
      <c r="E138" s="8">
        <v>853477</v>
      </c>
      <c r="F138" s="30">
        <f t="shared" si="6"/>
        <v>7260</v>
      </c>
      <c r="G138" s="30">
        <f t="shared" si="7"/>
        <v>846217</v>
      </c>
      <c r="H138" s="31">
        <f t="shared" si="8"/>
        <v>0.8579359667792068</v>
      </c>
      <c r="I138" s="3">
        <v>4.6300017457998282</v>
      </c>
      <c r="J138" s="8">
        <v>27069</v>
      </c>
    </row>
    <row r="139" spans="1:10" x14ac:dyDescent="0.3">
      <c r="A139" s="6" t="s">
        <v>179</v>
      </c>
      <c r="B139" s="3" t="s">
        <v>44</v>
      </c>
      <c r="C139" s="8">
        <v>7230</v>
      </c>
      <c r="D139" s="8">
        <v>869</v>
      </c>
      <c r="E139" s="8">
        <v>859838</v>
      </c>
      <c r="F139" s="30">
        <f t="shared" si="6"/>
        <v>6361</v>
      </c>
      <c r="G139" s="30">
        <f t="shared" si="7"/>
        <v>853477</v>
      </c>
      <c r="H139" s="31">
        <f t="shared" si="8"/>
        <v>0.74530420854926382</v>
      </c>
      <c r="I139" s="3">
        <v>7.0117859410726204</v>
      </c>
      <c r="J139" s="8">
        <v>56907</v>
      </c>
    </row>
    <row r="140" spans="1:10" x14ac:dyDescent="0.3">
      <c r="A140" s="6" t="s">
        <v>179</v>
      </c>
      <c r="B140" s="3" t="s">
        <v>44</v>
      </c>
      <c r="C140" s="8">
        <v>5940</v>
      </c>
      <c r="D140" s="8">
        <v>512</v>
      </c>
      <c r="E140" s="8">
        <v>865266</v>
      </c>
      <c r="F140" s="30">
        <f t="shared" si="6"/>
        <v>5428</v>
      </c>
      <c r="G140" s="30">
        <f t="shared" si="7"/>
        <v>859838</v>
      </c>
      <c r="H140" s="31">
        <f t="shared" si="8"/>
        <v>0.63128170655402527</v>
      </c>
      <c r="I140" s="3">
        <v>15.7972230504839</v>
      </c>
      <c r="J140" s="8">
        <v>17531</v>
      </c>
    </row>
    <row r="141" spans="1:10" x14ac:dyDescent="0.3">
      <c r="A141" s="6" t="s">
        <v>179</v>
      </c>
      <c r="B141" s="3" t="s">
        <v>21</v>
      </c>
      <c r="C141" s="8">
        <v>4271</v>
      </c>
      <c r="D141" s="8">
        <v>628</v>
      </c>
      <c r="E141" s="8">
        <v>868909</v>
      </c>
      <c r="F141" s="30">
        <f t="shared" si="6"/>
        <v>3643</v>
      </c>
      <c r="G141" s="30">
        <f t="shared" si="7"/>
        <v>865266</v>
      </c>
      <c r="H141" s="31">
        <f t="shared" si="8"/>
        <v>0.42102659760120009</v>
      </c>
      <c r="I141" s="3">
        <v>11.124410036033691</v>
      </c>
      <c r="J141" s="8">
        <v>47051</v>
      </c>
    </row>
    <row r="142" spans="1:10" x14ac:dyDescent="0.3">
      <c r="A142" s="6" t="s">
        <v>520</v>
      </c>
      <c r="B142" s="3" t="s">
        <v>541</v>
      </c>
      <c r="C142" s="8">
        <v>4456</v>
      </c>
      <c r="D142" s="8">
        <v>651</v>
      </c>
      <c r="E142" s="8">
        <v>872714</v>
      </c>
      <c r="F142" s="30">
        <f t="shared" si="6"/>
        <v>3805</v>
      </c>
      <c r="G142" s="30">
        <f t="shared" si="7"/>
        <v>868909</v>
      </c>
      <c r="H142" s="31">
        <f t="shared" si="8"/>
        <v>0.43790546535943353</v>
      </c>
      <c r="I142" s="3">
        <v>9.5052903929580594</v>
      </c>
      <c r="J142" s="8">
        <v>17736</v>
      </c>
    </row>
    <row r="143" spans="1:10" x14ac:dyDescent="0.3">
      <c r="A143" s="6" t="s">
        <v>520</v>
      </c>
      <c r="B143" s="3" t="s">
        <v>44</v>
      </c>
      <c r="C143" s="8">
        <v>8788</v>
      </c>
      <c r="D143" s="8">
        <v>660</v>
      </c>
      <c r="E143" s="8">
        <v>880842</v>
      </c>
      <c r="F143" s="30">
        <f t="shared" si="6"/>
        <v>8128</v>
      </c>
      <c r="G143" s="30">
        <f t="shared" si="7"/>
        <v>872714</v>
      </c>
      <c r="H143" s="31">
        <f t="shared" si="8"/>
        <v>0.93134749757652568</v>
      </c>
      <c r="I143" s="3">
        <v>3.7175793161543158</v>
      </c>
      <c r="J143" s="8">
        <v>17710</v>
      </c>
    </row>
    <row r="144" spans="1:10" x14ac:dyDescent="0.3">
      <c r="A144" s="6" t="s">
        <v>520</v>
      </c>
      <c r="B144" s="3" t="s">
        <v>541</v>
      </c>
      <c r="C144" s="8">
        <v>9599</v>
      </c>
      <c r="D144" s="8">
        <v>957</v>
      </c>
      <c r="E144" s="8">
        <v>889484</v>
      </c>
      <c r="F144" s="30">
        <f t="shared" si="6"/>
        <v>8642</v>
      </c>
      <c r="G144" s="30">
        <f t="shared" si="7"/>
        <v>880842</v>
      </c>
      <c r="H144" s="31">
        <f t="shared" si="8"/>
        <v>0.98110671380338355</v>
      </c>
      <c r="I144" s="3">
        <v>8.768004820772493</v>
      </c>
      <c r="J144" s="8">
        <v>11619</v>
      </c>
    </row>
    <row r="145" spans="1:10" x14ac:dyDescent="0.3">
      <c r="A145" s="6" t="s">
        <v>520</v>
      </c>
      <c r="B145" s="3" t="s">
        <v>44</v>
      </c>
      <c r="C145" s="8">
        <v>8650</v>
      </c>
      <c r="D145" s="8">
        <v>692</v>
      </c>
      <c r="E145" s="8">
        <v>897442</v>
      </c>
      <c r="F145" s="30">
        <f t="shared" si="6"/>
        <v>7958</v>
      </c>
      <c r="G145" s="30">
        <f t="shared" si="7"/>
        <v>889484</v>
      </c>
      <c r="H145" s="31">
        <f t="shared" si="8"/>
        <v>0.89467601440835365</v>
      </c>
      <c r="I145" s="3">
        <v>7.6673478620345374</v>
      </c>
      <c r="J145" s="8">
        <v>23975</v>
      </c>
    </row>
    <row r="146" spans="1:10" x14ac:dyDescent="0.3">
      <c r="A146" s="6" t="s">
        <v>437</v>
      </c>
      <c r="B146" s="3" t="s">
        <v>542</v>
      </c>
      <c r="C146" s="8">
        <v>3711</v>
      </c>
      <c r="D146" s="8">
        <v>291</v>
      </c>
      <c r="E146" s="8">
        <v>900862</v>
      </c>
      <c r="F146" s="30">
        <f t="shared" si="6"/>
        <v>3420</v>
      </c>
      <c r="G146" s="30">
        <f t="shared" si="7"/>
        <v>897442</v>
      </c>
      <c r="H146" s="31">
        <f t="shared" si="8"/>
        <v>0.38108312292047841</v>
      </c>
      <c r="I146" s="3">
        <v>14.24879726306582</v>
      </c>
      <c r="J146" s="8">
        <v>55603</v>
      </c>
    </row>
    <row r="147" spans="1:10" x14ac:dyDescent="0.3">
      <c r="A147" s="6" t="s">
        <v>437</v>
      </c>
      <c r="B147" s="3" t="s">
        <v>542</v>
      </c>
      <c r="C147" s="8">
        <v>2668</v>
      </c>
      <c r="D147" s="8">
        <v>143</v>
      </c>
      <c r="E147" s="8">
        <v>903387</v>
      </c>
      <c r="F147" s="30">
        <f t="shared" si="6"/>
        <v>2525</v>
      </c>
      <c r="G147" s="30">
        <f t="shared" si="7"/>
        <v>900862</v>
      </c>
      <c r="H147" s="31">
        <f t="shared" si="8"/>
        <v>0.28028710279709879</v>
      </c>
      <c r="I147" s="3">
        <v>15.903372530266649</v>
      </c>
      <c r="J147" s="8">
        <v>33252</v>
      </c>
    </row>
    <row r="148" spans="1:10" x14ac:dyDescent="0.3">
      <c r="A148" s="6" t="s">
        <v>437</v>
      </c>
      <c r="B148" s="3" t="s">
        <v>44</v>
      </c>
      <c r="C148" s="8">
        <v>1147</v>
      </c>
      <c r="D148" s="8">
        <v>127</v>
      </c>
      <c r="E148" s="8">
        <v>904407</v>
      </c>
      <c r="F148" s="30">
        <f t="shared" si="6"/>
        <v>1020</v>
      </c>
      <c r="G148" s="30">
        <f t="shared" si="7"/>
        <v>903387</v>
      </c>
      <c r="H148" s="31">
        <f t="shared" si="8"/>
        <v>0.11290842130781159</v>
      </c>
      <c r="I148" s="3">
        <v>1.3997016829812241</v>
      </c>
      <c r="J148" s="8">
        <v>25261</v>
      </c>
    </row>
    <row r="149" spans="1:10" x14ac:dyDescent="0.3">
      <c r="A149" s="6" t="s">
        <v>437</v>
      </c>
      <c r="B149" s="3" t="s">
        <v>542</v>
      </c>
      <c r="C149" s="8">
        <v>7420</v>
      </c>
      <c r="D149" s="8">
        <v>743</v>
      </c>
      <c r="E149" s="8">
        <v>911084</v>
      </c>
      <c r="F149" s="30">
        <f t="shared" si="6"/>
        <v>6677</v>
      </c>
      <c r="G149" s="30">
        <f t="shared" si="7"/>
        <v>904407</v>
      </c>
      <c r="H149" s="31">
        <f t="shared" si="8"/>
        <v>0.73827380814168841</v>
      </c>
      <c r="I149" s="3">
        <v>10.593534734448189</v>
      </c>
      <c r="J149" s="8">
        <v>11431</v>
      </c>
    </row>
    <row r="150" spans="1:10" x14ac:dyDescent="0.3">
      <c r="A150" s="6" t="s">
        <v>99</v>
      </c>
      <c r="B150" s="3" t="s">
        <v>44</v>
      </c>
      <c r="C150" s="8">
        <v>1365</v>
      </c>
      <c r="D150" s="8">
        <v>75</v>
      </c>
      <c r="E150" s="8">
        <v>912374</v>
      </c>
      <c r="F150" s="30">
        <f t="shared" si="6"/>
        <v>1290</v>
      </c>
      <c r="G150" s="30">
        <f t="shared" si="7"/>
        <v>911084</v>
      </c>
      <c r="H150" s="31">
        <f t="shared" si="8"/>
        <v>0.14158957900698507</v>
      </c>
      <c r="I150" s="3">
        <v>9.2688963078737441</v>
      </c>
      <c r="J150" s="8">
        <v>19067</v>
      </c>
    </row>
    <row r="151" spans="1:10" x14ac:dyDescent="0.3">
      <c r="A151" s="6" t="s">
        <v>99</v>
      </c>
      <c r="B151" s="3" t="s">
        <v>542</v>
      </c>
      <c r="C151" s="8">
        <v>5531</v>
      </c>
      <c r="D151" s="8">
        <v>430</v>
      </c>
      <c r="E151" s="8">
        <v>917475</v>
      </c>
      <c r="F151" s="30">
        <f t="shared" si="6"/>
        <v>5101</v>
      </c>
      <c r="G151" s="30">
        <f t="shared" si="7"/>
        <v>912374</v>
      </c>
      <c r="H151" s="31">
        <f t="shared" si="8"/>
        <v>0.55909089912689314</v>
      </c>
      <c r="I151" s="3">
        <v>2.7289026948963189</v>
      </c>
      <c r="J151" s="8">
        <v>47481</v>
      </c>
    </row>
    <row r="152" spans="1:10" x14ac:dyDescent="0.3">
      <c r="A152" s="6" t="s">
        <v>99</v>
      </c>
      <c r="B152" s="3" t="s">
        <v>21</v>
      </c>
      <c r="C152" s="8">
        <v>6330</v>
      </c>
      <c r="D152" s="8">
        <v>891</v>
      </c>
      <c r="E152" s="8">
        <v>922914</v>
      </c>
      <c r="F152" s="30">
        <f t="shared" si="6"/>
        <v>5439</v>
      </c>
      <c r="G152" s="30">
        <f t="shared" si="7"/>
        <v>917475</v>
      </c>
      <c r="H152" s="31">
        <f t="shared" si="8"/>
        <v>0.59282269271642285</v>
      </c>
      <c r="I152" s="3">
        <v>14.789893749580139</v>
      </c>
      <c r="J152" s="8">
        <v>37037</v>
      </c>
    </row>
    <row r="153" spans="1:10" x14ac:dyDescent="0.3">
      <c r="A153" s="6" t="s">
        <v>99</v>
      </c>
      <c r="B153" s="3" t="s">
        <v>21</v>
      </c>
      <c r="C153" s="8">
        <v>6510</v>
      </c>
      <c r="D153" s="8">
        <v>481</v>
      </c>
      <c r="E153" s="8">
        <v>928943</v>
      </c>
      <c r="F153" s="30">
        <f t="shared" si="6"/>
        <v>6029</v>
      </c>
      <c r="G153" s="30">
        <f t="shared" si="7"/>
        <v>922914</v>
      </c>
      <c r="H153" s="31">
        <f t="shared" si="8"/>
        <v>0.65325696652125775</v>
      </c>
      <c r="I153" s="3">
        <v>2.3800168578696428</v>
      </c>
      <c r="J153" s="8">
        <v>19557</v>
      </c>
    </row>
    <row r="154" spans="1:10" x14ac:dyDescent="0.3">
      <c r="A154" s="6" t="s">
        <v>112</v>
      </c>
      <c r="B154" s="3" t="s">
        <v>21</v>
      </c>
      <c r="C154" s="8">
        <v>9754</v>
      </c>
      <c r="D154" s="8">
        <v>629</v>
      </c>
      <c r="E154" s="8">
        <v>938068</v>
      </c>
      <c r="F154" s="30">
        <f t="shared" si="6"/>
        <v>9125</v>
      </c>
      <c r="G154" s="30">
        <f t="shared" si="7"/>
        <v>928943</v>
      </c>
      <c r="H154" s="31">
        <f t="shared" si="8"/>
        <v>0.9822992368745983</v>
      </c>
      <c r="I154" s="3">
        <v>3.4123325814333292</v>
      </c>
      <c r="J154" s="8">
        <v>19435</v>
      </c>
    </row>
    <row r="155" spans="1:10" x14ac:dyDescent="0.3">
      <c r="A155" s="6" t="s">
        <v>112</v>
      </c>
      <c r="B155" s="3" t="s">
        <v>541</v>
      </c>
      <c r="C155" s="8">
        <v>9964</v>
      </c>
      <c r="D155" s="8">
        <v>985</v>
      </c>
      <c r="E155" s="8">
        <v>947047</v>
      </c>
      <c r="F155" s="30">
        <f t="shared" si="6"/>
        <v>8979</v>
      </c>
      <c r="G155" s="30">
        <f t="shared" si="7"/>
        <v>938068</v>
      </c>
      <c r="H155" s="31">
        <f t="shared" si="8"/>
        <v>0.95718007649765269</v>
      </c>
      <c r="I155" s="3">
        <v>1.9837452629066989</v>
      </c>
      <c r="J155" s="8">
        <v>47766</v>
      </c>
    </row>
    <row r="156" spans="1:10" x14ac:dyDescent="0.3">
      <c r="A156" s="6" t="s">
        <v>112</v>
      </c>
      <c r="B156" s="3" t="s">
        <v>541</v>
      </c>
      <c r="C156" s="8">
        <v>7493</v>
      </c>
      <c r="D156" s="8">
        <v>1113</v>
      </c>
      <c r="E156" s="8">
        <v>953427</v>
      </c>
      <c r="F156" s="30">
        <f t="shared" si="6"/>
        <v>6380</v>
      </c>
      <c r="G156" s="30">
        <f t="shared" si="7"/>
        <v>947047</v>
      </c>
      <c r="H156" s="31">
        <f t="shared" si="8"/>
        <v>0.67367300672511499</v>
      </c>
      <c r="I156" s="3">
        <v>15.684892498324469</v>
      </c>
      <c r="J156" s="8">
        <v>10162</v>
      </c>
    </row>
    <row r="157" spans="1:10" x14ac:dyDescent="0.3">
      <c r="A157" s="6" t="s">
        <v>112</v>
      </c>
      <c r="B157" s="3" t="s">
        <v>21</v>
      </c>
      <c r="C157" s="8">
        <v>6439</v>
      </c>
      <c r="D157" s="8">
        <v>477</v>
      </c>
      <c r="E157" s="8">
        <v>959389</v>
      </c>
      <c r="F157" s="30">
        <f t="shared" si="6"/>
        <v>5962</v>
      </c>
      <c r="G157" s="30">
        <f t="shared" si="7"/>
        <v>953427</v>
      </c>
      <c r="H157" s="31">
        <f t="shared" si="8"/>
        <v>0.62532317628932266</v>
      </c>
      <c r="I157" s="3">
        <v>7.4744446725989153</v>
      </c>
      <c r="J157" s="8">
        <v>44742</v>
      </c>
    </row>
    <row r="158" spans="1:10" x14ac:dyDescent="0.3">
      <c r="A158" s="6" t="s">
        <v>156</v>
      </c>
      <c r="B158" s="3" t="s">
        <v>541</v>
      </c>
      <c r="C158" s="8">
        <v>7511</v>
      </c>
      <c r="D158" s="8">
        <v>880</v>
      </c>
      <c r="E158" s="8">
        <v>966020</v>
      </c>
      <c r="F158" s="30">
        <f t="shared" si="6"/>
        <v>6631</v>
      </c>
      <c r="G158" s="30">
        <f t="shared" si="7"/>
        <v>959389</v>
      </c>
      <c r="H158" s="31">
        <f t="shared" si="8"/>
        <v>0.69116906697908775</v>
      </c>
      <c r="I158" s="3">
        <v>4.6083932009689246</v>
      </c>
      <c r="J158" s="8">
        <v>29675</v>
      </c>
    </row>
    <row r="159" spans="1:10" x14ac:dyDescent="0.3">
      <c r="A159" s="6" t="s">
        <v>156</v>
      </c>
      <c r="B159" s="3" t="s">
        <v>542</v>
      </c>
      <c r="C159" s="8">
        <v>8504</v>
      </c>
      <c r="D159" s="8">
        <v>1072</v>
      </c>
      <c r="E159" s="8">
        <v>973452</v>
      </c>
      <c r="F159" s="30">
        <f t="shared" si="6"/>
        <v>7432</v>
      </c>
      <c r="G159" s="30">
        <f t="shared" si="7"/>
        <v>966020</v>
      </c>
      <c r="H159" s="31">
        <f t="shared" si="8"/>
        <v>0.76934224964286457</v>
      </c>
      <c r="I159" s="3">
        <v>6.5651927367759271</v>
      </c>
      <c r="J159" s="8">
        <v>18461</v>
      </c>
    </row>
    <row r="160" spans="1:10" x14ac:dyDescent="0.3">
      <c r="A160" s="6" t="s">
        <v>156</v>
      </c>
      <c r="B160" s="3" t="s">
        <v>44</v>
      </c>
      <c r="C160" s="8">
        <v>2246</v>
      </c>
      <c r="D160" s="8">
        <v>165</v>
      </c>
      <c r="E160" s="8">
        <v>975533</v>
      </c>
      <c r="F160" s="30">
        <f t="shared" si="6"/>
        <v>2081</v>
      </c>
      <c r="G160" s="30">
        <f t="shared" si="7"/>
        <v>973452</v>
      </c>
      <c r="H160" s="31">
        <f t="shared" si="8"/>
        <v>0.21377530684615165</v>
      </c>
      <c r="I160" s="3">
        <v>2.9062061457685191</v>
      </c>
      <c r="J160" s="8">
        <v>27015</v>
      </c>
    </row>
    <row r="161" spans="1:10" x14ac:dyDescent="0.3">
      <c r="A161" s="6" t="s">
        <v>156</v>
      </c>
      <c r="B161" s="3" t="s">
        <v>44</v>
      </c>
      <c r="C161" s="8">
        <v>4839</v>
      </c>
      <c r="D161" s="8">
        <v>594</v>
      </c>
      <c r="E161" s="8">
        <v>979778</v>
      </c>
      <c r="F161" s="30">
        <f t="shared" si="6"/>
        <v>4245</v>
      </c>
      <c r="G161" s="30">
        <f t="shared" si="7"/>
        <v>975533</v>
      </c>
      <c r="H161" s="31">
        <f t="shared" si="8"/>
        <v>0.43514673516938951</v>
      </c>
      <c r="I161" s="3">
        <v>2.5803804535313102</v>
      </c>
      <c r="J161" s="8">
        <v>42591</v>
      </c>
    </row>
    <row r="162" spans="1:10" x14ac:dyDescent="0.3">
      <c r="A162" s="6" t="s">
        <v>521</v>
      </c>
      <c r="B162" s="3" t="s">
        <v>44</v>
      </c>
      <c r="C162" s="8">
        <v>9551</v>
      </c>
      <c r="D162" s="8">
        <v>828</v>
      </c>
      <c r="E162" s="8">
        <v>988501</v>
      </c>
      <c r="F162" s="30">
        <f t="shared" si="6"/>
        <v>8723</v>
      </c>
      <c r="G162" s="30">
        <f t="shared" si="7"/>
        <v>979778</v>
      </c>
      <c r="H162" s="31">
        <f t="shared" si="8"/>
        <v>0.89030372186352424</v>
      </c>
      <c r="I162" s="3">
        <v>1.525036393488727</v>
      </c>
      <c r="J162" s="8">
        <v>38047</v>
      </c>
    </row>
    <row r="163" spans="1:10" x14ac:dyDescent="0.3">
      <c r="A163" s="6" t="s">
        <v>521</v>
      </c>
      <c r="B163" s="3" t="s">
        <v>21</v>
      </c>
      <c r="C163" s="8">
        <v>3376</v>
      </c>
      <c r="D163" s="8">
        <v>382</v>
      </c>
      <c r="E163" s="8">
        <v>991495</v>
      </c>
      <c r="F163" s="30">
        <f t="shared" si="6"/>
        <v>2994</v>
      </c>
      <c r="G163" s="30">
        <f t="shared" si="7"/>
        <v>988501</v>
      </c>
      <c r="H163" s="31">
        <f t="shared" si="8"/>
        <v>0.30288284989089542</v>
      </c>
      <c r="I163" s="3">
        <v>3.8694093263203548</v>
      </c>
      <c r="J163" s="8">
        <v>44782</v>
      </c>
    </row>
    <row r="164" spans="1:10" x14ac:dyDescent="0.3">
      <c r="A164" s="6" t="s">
        <v>521</v>
      </c>
      <c r="B164" s="3" t="s">
        <v>541</v>
      </c>
      <c r="C164" s="8">
        <v>4009</v>
      </c>
      <c r="D164" s="8">
        <v>454</v>
      </c>
      <c r="E164" s="8">
        <v>995050</v>
      </c>
      <c r="F164" s="30">
        <f t="shared" si="6"/>
        <v>3555</v>
      </c>
      <c r="G164" s="30">
        <f t="shared" si="7"/>
        <v>991495</v>
      </c>
      <c r="H164" s="31">
        <f t="shared" si="8"/>
        <v>0.35854946318438319</v>
      </c>
      <c r="I164" s="3">
        <v>2.1106477061454201</v>
      </c>
      <c r="J164" s="8">
        <v>19833</v>
      </c>
    </row>
    <row r="165" spans="1:10" x14ac:dyDescent="0.3">
      <c r="A165" s="6" t="s">
        <v>521</v>
      </c>
      <c r="B165" s="3" t="s">
        <v>542</v>
      </c>
      <c r="C165" s="8">
        <v>2827</v>
      </c>
      <c r="D165" s="8">
        <v>292</v>
      </c>
      <c r="E165" s="8">
        <v>997585</v>
      </c>
      <c r="F165" s="30">
        <f t="shared" si="6"/>
        <v>2535</v>
      </c>
      <c r="G165" s="30">
        <f t="shared" si="7"/>
        <v>995050</v>
      </c>
      <c r="H165" s="31">
        <f t="shared" si="8"/>
        <v>0.25476106728305109</v>
      </c>
      <c r="I165" s="3">
        <v>2.4004972007397871</v>
      </c>
      <c r="J165" s="8">
        <v>17896</v>
      </c>
    </row>
    <row r="166" spans="1:10" x14ac:dyDescent="0.3">
      <c r="A166" s="6" t="s">
        <v>522</v>
      </c>
      <c r="B166" s="3" t="s">
        <v>542</v>
      </c>
      <c r="C166" s="8">
        <v>7979</v>
      </c>
      <c r="D166" s="8">
        <v>470</v>
      </c>
      <c r="E166" s="8">
        <v>1005094</v>
      </c>
      <c r="F166" s="30">
        <f t="shared" si="6"/>
        <v>7509</v>
      </c>
      <c r="G166" s="30">
        <f t="shared" si="7"/>
        <v>997585</v>
      </c>
      <c r="H166" s="31">
        <f t="shared" si="8"/>
        <v>0.75271781351964995</v>
      </c>
      <c r="I166" s="3">
        <v>10.43086517280971</v>
      </c>
      <c r="J166" s="8">
        <v>42972</v>
      </c>
    </row>
    <row r="167" spans="1:10" x14ac:dyDescent="0.3">
      <c r="A167" s="6" t="s">
        <v>522</v>
      </c>
      <c r="B167" s="3" t="s">
        <v>21</v>
      </c>
      <c r="C167" s="8">
        <v>9569</v>
      </c>
      <c r="D167" s="8">
        <v>1277</v>
      </c>
      <c r="E167" s="8">
        <v>1013386</v>
      </c>
      <c r="F167" s="30">
        <f t="shared" si="6"/>
        <v>8292</v>
      </c>
      <c r="G167" s="30">
        <f t="shared" si="7"/>
        <v>1005094</v>
      </c>
      <c r="H167" s="31">
        <f t="shared" si="8"/>
        <v>0.82499746292386578</v>
      </c>
      <c r="I167" s="3">
        <v>12.45517502708741</v>
      </c>
      <c r="J167" s="8">
        <v>59733</v>
      </c>
    </row>
    <row r="168" spans="1:10" x14ac:dyDescent="0.3">
      <c r="A168" s="6" t="s">
        <v>522</v>
      </c>
      <c r="B168" s="3" t="s">
        <v>542</v>
      </c>
      <c r="C168" s="8">
        <v>5285</v>
      </c>
      <c r="D168" s="8">
        <v>433</v>
      </c>
      <c r="E168" s="8">
        <v>1018238</v>
      </c>
      <c r="F168" s="30">
        <f t="shared" si="6"/>
        <v>4852</v>
      </c>
      <c r="G168" s="30">
        <f t="shared" si="7"/>
        <v>1013386</v>
      </c>
      <c r="H168" s="31">
        <f t="shared" si="8"/>
        <v>0.47879090494638765</v>
      </c>
      <c r="I168" s="3">
        <v>8.7022876773406619</v>
      </c>
      <c r="J168" s="8">
        <v>51800</v>
      </c>
    </row>
    <row r="169" spans="1:10" x14ac:dyDescent="0.3">
      <c r="A169" s="6" t="s">
        <v>522</v>
      </c>
      <c r="B169" s="3" t="s">
        <v>542</v>
      </c>
      <c r="C169" s="8">
        <v>7910</v>
      </c>
      <c r="D169" s="8">
        <v>543</v>
      </c>
      <c r="E169" s="8">
        <v>1025605</v>
      </c>
      <c r="F169" s="30">
        <f t="shared" si="6"/>
        <v>7367</v>
      </c>
      <c r="G169" s="30">
        <f t="shared" si="7"/>
        <v>1018238</v>
      </c>
      <c r="H169" s="31">
        <f t="shared" si="8"/>
        <v>0.72350472090022178</v>
      </c>
      <c r="I169" s="3">
        <v>6.0590578244060822</v>
      </c>
      <c r="J169" s="8">
        <v>40508</v>
      </c>
    </row>
    <row r="170" spans="1:10" x14ac:dyDescent="0.3">
      <c r="A170" s="6" t="s">
        <v>338</v>
      </c>
      <c r="B170" s="3" t="s">
        <v>542</v>
      </c>
      <c r="C170" s="8">
        <v>9561</v>
      </c>
      <c r="D170" s="8">
        <v>517</v>
      </c>
      <c r="E170" s="8">
        <v>1034649</v>
      </c>
      <c r="F170" s="30">
        <f t="shared" si="6"/>
        <v>9044</v>
      </c>
      <c r="G170" s="30">
        <f t="shared" si="7"/>
        <v>1025605</v>
      </c>
      <c r="H170" s="31">
        <f t="shared" si="8"/>
        <v>0.88182097396171044</v>
      </c>
      <c r="I170" s="3">
        <v>6.4086467971263694</v>
      </c>
      <c r="J170" s="8">
        <v>15347</v>
      </c>
    </row>
    <row r="171" spans="1:10" x14ac:dyDescent="0.3">
      <c r="A171" s="6" t="s">
        <v>338</v>
      </c>
      <c r="B171" s="3" t="s">
        <v>542</v>
      </c>
      <c r="C171" s="8">
        <v>3196</v>
      </c>
      <c r="D171" s="8">
        <v>348</v>
      </c>
      <c r="E171" s="8">
        <v>1037497</v>
      </c>
      <c r="F171" s="30">
        <f t="shared" si="6"/>
        <v>2848</v>
      </c>
      <c r="G171" s="30">
        <f t="shared" si="7"/>
        <v>1034649</v>
      </c>
      <c r="H171" s="31">
        <f t="shared" si="8"/>
        <v>0.27526243199384526</v>
      </c>
      <c r="I171" s="3">
        <v>14.03040201562029</v>
      </c>
      <c r="J171" s="8">
        <v>40314</v>
      </c>
    </row>
    <row r="172" spans="1:10" x14ac:dyDescent="0.3">
      <c r="A172" s="6" t="s">
        <v>338</v>
      </c>
      <c r="B172" s="3" t="s">
        <v>541</v>
      </c>
      <c r="C172" s="8">
        <v>4747</v>
      </c>
      <c r="D172" s="8">
        <v>558</v>
      </c>
      <c r="E172" s="8">
        <v>1041686</v>
      </c>
      <c r="F172" s="30">
        <f t="shared" si="6"/>
        <v>4189</v>
      </c>
      <c r="G172" s="30">
        <f t="shared" si="7"/>
        <v>1037497</v>
      </c>
      <c r="H172" s="31">
        <f t="shared" si="8"/>
        <v>0.40376020364396237</v>
      </c>
      <c r="I172" s="3">
        <v>5.7680529449373434</v>
      </c>
      <c r="J172" s="8">
        <v>12643</v>
      </c>
    </row>
    <row r="173" spans="1:10" x14ac:dyDescent="0.3">
      <c r="A173" s="6" t="s">
        <v>338</v>
      </c>
      <c r="B173" s="3" t="s">
        <v>542</v>
      </c>
      <c r="C173" s="8">
        <v>9843</v>
      </c>
      <c r="D173" s="8">
        <v>508</v>
      </c>
      <c r="E173" s="8">
        <v>1051021</v>
      </c>
      <c r="F173" s="30">
        <f t="shared" si="6"/>
        <v>9335</v>
      </c>
      <c r="G173" s="30">
        <f t="shared" si="7"/>
        <v>1041686</v>
      </c>
      <c r="H173" s="31">
        <f t="shared" si="8"/>
        <v>0.89614336757909763</v>
      </c>
      <c r="I173" s="3">
        <v>4.2080986012648651</v>
      </c>
      <c r="J173" s="8">
        <v>50785</v>
      </c>
    </row>
    <row r="174" spans="1:10" x14ac:dyDescent="0.3">
      <c r="A174" s="6" t="s">
        <v>523</v>
      </c>
      <c r="B174" s="3" t="s">
        <v>44</v>
      </c>
      <c r="C174" s="8">
        <v>6978</v>
      </c>
      <c r="D174" s="8">
        <v>706</v>
      </c>
      <c r="E174" s="8">
        <v>1057293</v>
      </c>
      <c r="F174" s="30">
        <f t="shared" si="6"/>
        <v>6272</v>
      </c>
      <c r="G174" s="30">
        <f t="shared" si="7"/>
        <v>1051021</v>
      </c>
      <c r="H174" s="31">
        <f t="shared" si="8"/>
        <v>0.59675306202254763</v>
      </c>
      <c r="I174" s="3">
        <v>5.057443868445171</v>
      </c>
      <c r="J174" s="8">
        <v>28681</v>
      </c>
    </row>
    <row r="175" spans="1:10" x14ac:dyDescent="0.3">
      <c r="A175" s="6" t="s">
        <v>523</v>
      </c>
      <c r="B175" s="3" t="s">
        <v>21</v>
      </c>
      <c r="C175" s="8">
        <v>6607</v>
      </c>
      <c r="D175" s="8">
        <v>479</v>
      </c>
      <c r="E175" s="8">
        <v>1063421</v>
      </c>
      <c r="F175" s="30">
        <f t="shared" si="6"/>
        <v>6128</v>
      </c>
      <c r="G175" s="30">
        <f t="shared" si="7"/>
        <v>1057293</v>
      </c>
      <c r="H175" s="31">
        <f t="shared" si="8"/>
        <v>0.57959335775418919</v>
      </c>
      <c r="I175" s="3">
        <v>5.5892257158735816</v>
      </c>
      <c r="J175" s="8">
        <v>48328</v>
      </c>
    </row>
    <row r="176" spans="1:10" x14ac:dyDescent="0.3">
      <c r="A176" s="6" t="s">
        <v>523</v>
      </c>
      <c r="B176" s="3" t="s">
        <v>541</v>
      </c>
      <c r="C176" s="8">
        <v>1769</v>
      </c>
      <c r="D176" s="8">
        <v>202</v>
      </c>
      <c r="E176" s="8">
        <v>1064988</v>
      </c>
      <c r="F176" s="30">
        <f t="shared" si="6"/>
        <v>1567</v>
      </c>
      <c r="G176" s="30">
        <f t="shared" si="7"/>
        <v>1063421</v>
      </c>
      <c r="H176" s="31">
        <f t="shared" si="8"/>
        <v>0.14735462248723694</v>
      </c>
      <c r="I176" s="3">
        <v>6.5457075572682513</v>
      </c>
      <c r="J176" s="8">
        <v>25892</v>
      </c>
    </row>
    <row r="177" spans="1:10" x14ac:dyDescent="0.3">
      <c r="A177" s="6" t="s">
        <v>523</v>
      </c>
      <c r="B177" s="3" t="s">
        <v>542</v>
      </c>
      <c r="C177" s="8">
        <v>1780</v>
      </c>
      <c r="D177" s="8">
        <v>120</v>
      </c>
      <c r="E177" s="8">
        <v>1066648</v>
      </c>
      <c r="F177" s="30">
        <f t="shared" si="6"/>
        <v>1660</v>
      </c>
      <c r="G177" s="30">
        <f t="shared" si="7"/>
        <v>1064988</v>
      </c>
      <c r="H177" s="31">
        <f t="shared" si="8"/>
        <v>0.15587030088601936</v>
      </c>
      <c r="I177" s="3">
        <v>13.86474263299608</v>
      </c>
      <c r="J177" s="8">
        <v>57299</v>
      </c>
    </row>
    <row r="178" spans="1:10" x14ac:dyDescent="0.3">
      <c r="A178" s="6" t="s">
        <v>353</v>
      </c>
      <c r="B178" s="3" t="s">
        <v>541</v>
      </c>
      <c r="C178" s="8">
        <v>7303</v>
      </c>
      <c r="D178" s="8">
        <v>869</v>
      </c>
      <c r="E178" s="8">
        <v>1073082</v>
      </c>
      <c r="F178" s="30">
        <f t="shared" si="6"/>
        <v>6434</v>
      </c>
      <c r="G178" s="30">
        <f t="shared" si="7"/>
        <v>1066648</v>
      </c>
      <c r="H178" s="31">
        <f t="shared" si="8"/>
        <v>0.60319805596597942</v>
      </c>
      <c r="I178" s="3">
        <v>8.1237966902808925</v>
      </c>
      <c r="J178" s="8">
        <v>27073</v>
      </c>
    </row>
    <row r="179" spans="1:10" x14ac:dyDescent="0.3">
      <c r="A179" s="6" t="s">
        <v>353</v>
      </c>
      <c r="B179" s="3" t="s">
        <v>542</v>
      </c>
      <c r="C179" s="8">
        <v>4983</v>
      </c>
      <c r="D179" s="8">
        <v>441</v>
      </c>
      <c r="E179" s="8">
        <v>1077624</v>
      </c>
      <c r="F179" s="30">
        <f t="shared" si="6"/>
        <v>4542</v>
      </c>
      <c r="G179" s="30">
        <f t="shared" si="7"/>
        <v>1073082</v>
      </c>
      <c r="H179" s="31">
        <f t="shared" si="8"/>
        <v>0.42326681465162957</v>
      </c>
      <c r="I179" s="3">
        <v>6.8954477628560609</v>
      </c>
      <c r="J179" s="8">
        <v>46768</v>
      </c>
    </row>
    <row r="180" spans="1:10" x14ac:dyDescent="0.3">
      <c r="A180" s="6" t="s">
        <v>353</v>
      </c>
      <c r="B180" s="3" t="s">
        <v>44</v>
      </c>
      <c r="C180" s="8">
        <v>9714</v>
      </c>
      <c r="D180" s="8">
        <v>1395</v>
      </c>
      <c r="E180" s="8">
        <v>1085943</v>
      </c>
      <c r="F180" s="30">
        <f t="shared" si="6"/>
        <v>8319</v>
      </c>
      <c r="G180" s="30">
        <f t="shared" si="7"/>
        <v>1077624</v>
      </c>
      <c r="H180" s="31">
        <f t="shared" si="8"/>
        <v>0.77197612525333514</v>
      </c>
      <c r="I180" s="3">
        <v>5.2243073531483697</v>
      </c>
      <c r="J180" s="8">
        <v>40682</v>
      </c>
    </row>
    <row r="181" spans="1:10" x14ac:dyDescent="0.3">
      <c r="A181" s="6" t="s">
        <v>353</v>
      </c>
      <c r="B181" s="3" t="s">
        <v>21</v>
      </c>
      <c r="C181" s="8">
        <v>1521</v>
      </c>
      <c r="D181" s="8">
        <v>96</v>
      </c>
      <c r="E181" s="8">
        <v>1087368</v>
      </c>
      <c r="F181" s="30">
        <f t="shared" si="6"/>
        <v>1425</v>
      </c>
      <c r="G181" s="30">
        <f t="shared" si="7"/>
        <v>1085943</v>
      </c>
      <c r="H181" s="31">
        <f t="shared" si="8"/>
        <v>0.13122235697453735</v>
      </c>
      <c r="I181" s="3">
        <v>12.709772588488899</v>
      </c>
      <c r="J181" s="8">
        <v>42262</v>
      </c>
    </row>
    <row r="182" spans="1:10" x14ac:dyDescent="0.3">
      <c r="A182" s="6" t="s">
        <v>524</v>
      </c>
      <c r="B182" s="3" t="s">
        <v>542</v>
      </c>
      <c r="C182" s="8">
        <v>8569</v>
      </c>
      <c r="D182" s="8">
        <v>720</v>
      </c>
      <c r="E182" s="8">
        <v>1095217</v>
      </c>
      <c r="F182" s="30">
        <f t="shared" si="6"/>
        <v>7849</v>
      </c>
      <c r="G182" s="30">
        <f t="shared" si="7"/>
        <v>1087368</v>
      </c>
      <c r="H182" s="31">
        <f t="shared" si="8"/>
        <v>0.72183474223997768</v>
      </c>
      <c r="I182" s="3">
        <v>9.589697749395782</v>
      </c>
      <c r="J182" s="8">
        <v>41358</v>
      </c>
    </row>
    <row r="183" spans="1:10" x14ac:dyDescent="0.3">
      <c r="A183" s="6" t="s">
        <v>524</v>
      </c>
      <c r="B183" s="3" t="s">
        <v>542</v>
      </c>
      <c r="C183" s="8">
        <v>6784</v>
      </c>
      <c r="D183" s="8">
        <v>416</v>
      </c>
      <c r="E183" s="8">
        <v>1101585</v>
      </c>
      <c r="F183" s="30">
        <f t="shared" si="6"/>
        <v>6368</v>
      </c>
      <c r="G183" s="30">
        <f t="shared" si="7"/>
        <v>1095217</v>
      </c>
      <c r="H183" s="31">
        <f t="shared" si="8"/>
        <v>0.58143728594424671</v>
      </c>
      <c r="I183" s="3">
        <v>9.3041390360253633</v>
      </c>
      <c r="J183" s="8">
        <v>24289</v>
      </c>
    </row>
    <row r="184" spans="1:10" x14ac:dyDescent="0.3">
      <c r="A184" s="6" t="s">
        <v>524</v>
      </c>
      <c r="B184" s="3" t="s">
        <v>542</v>
      </c>
      <c r="C184" s="8">
        <v>5583</v>
      </c>
      <c r="D184" s="8">
        <v>795</v>
      </c>
      <c r="E184" s="8">
        <v>1106373</v>
      </c>
      <c r="F184" s="30">
        <f t="shared" si="6"/>
        <v>4788</v>
      </c>
      <c r="G184" s="30">
        <f t="shared" si="7"/>
        <v>1101585</v>
      </c>
      <c r="H184" s="31">
        <f t="shared" si="8"/>
        <v>0.4346464412641784</v>
      </c>
      <c r="I184" s="3">
        <v>12.21550055903389</v>
      </c>
      <c r="J184" s="8">
        <v>59823</v>
      </c>
    </row>
    <row r="185" spans="1:10" x14ac:dyDescent="0.3">
      <c r="A185" s="6" t="s">
        <v>524</v>
      </c>
      <c r="B185" s="3" t="s">
        <v>542</v>
      </c>
      <c r="C185" s="8">
        <v>6946</v>
      </c>
      <c r="D185" s="8">
        <v>956</v>
      </c>
      <c r="E185" s="8">
        <v>1112363</v>
      </c>
      <c r="F185" s="30">
        <f t="shared" si="6"/>
        <v>5990</v>
      </c>
      <c r="G185" s="30">
        <f t="shared" si="7"/>
        <v>1106373</v>
      </c>
      <c r="H185" s="31">
        <f t="shared" si="8"/>
        <v>0.54140872924411565</v>
      </c>
      <c r="I185" s="3">
        <v>1.64146056637986</v>
      </c>
      <c r="J185" s="8">
        <v>17927</v>
      </c>
    </row>
    <row r="186" spans="1:10" x14ac:dyDescent="0.3">
      <c r="A186" s="6" t="s">
        <v>525</v>
      </c>
      <c r="B186" s="3" t="s">
        <v>21</v>
      </c>
      <c r="C186" s="8">
        <v>5941</v>
      </c>
      <c r="D186" s="8">
        <v>450</v>
      </c>
      <c r="E186" s="8">
        <v>1117854</v>
      </c>
      <c r="F186" s="30">
        <f t="shared" si="6"/>
        <v>5491</v>
      </c>
      <c r="G186" s="30">
        <f t="shared" si="7"/>
        <v>1112363</v>
      </c>
      <c r="H186" s="31">
        <f t="shared" si="8"/>
        <v>0.49363382277188295</v>
      </c>
      <c r="I186" s="3">
        <v>12.414411899944</v>
      </c>
      <c r="J186" s="8">
        <v>58330</v>
      </c>
    </row>
    <row r="187" spans="1:10" x14ac:dyDescent="0.3">
      <c r="A187" s="6" t="s">
        <v>525</v>
      </c>
      <c r="B187" s="3" t="s">
        <v>21</v>
      </c>
      <c r="C187" s="8">
        <v>7267</v>
      </c>
      <c r="D187" s="8">
        <v>842</v>
      </c>
      <c r="E187" s="8">
        <v>1124279</v>
      </c>
      <c r="F187" s="30">
        <f t="shared" si="6"/>
        <v>6425</v>
      </c>
      <c r="G187" s="30">
        <f t="shared" si="7"/>
        <v>1117854</v>
      </c>
      <c r="H187" s="31">
        <f t="shared" si="8"/>
        <v>0.5747619993308607</v>
      </c>
      <c r="I187" s="3">
        <v>2.2102165031989389</v>
      </c>
      <c r="J187" s="8">
        <v>11171</v>
      </c>
    </row>
    <row r="188" spans="1:10" x14ac:dyDescent="0.3">
      <c r="A188" s="6" t="s">
        <v>525</v>
      </c>
      <c r="B188" s="3" t="s">
        <v>44</v>
      </c>
      <c r="C188" s="8">
        <v>8128</v>
      </c>
      <c r="D188" s="8">
        <v>1070</v>
      </c>
      <c r="E188" s="8">
        <v>1131337</v>
      </c>
      <c r="F188" s="30">
        <f t="shared" si="6"/>
        <v>7058</v>
      </c>
      <c r="G188" s="30">
        <f t="shared" si="7"/>
        <v>1124279</v>
      </c>
      <c r="H188" s="31">
        <f t="shared" si="8"/>
        <v>0.62778011507819675</v>
      </c>
      <c r="I188" s="3">
        <v>8.1114645768679008</v>
      </c>
      <c r="J188" s="8">
        <v>21918</v>
      </c>
    </row>
    <row r="189" spans="1:10" x14ac:dyDescent="0.3">
      <c r="A189" s="6" t="s">
        <v>525</v>
      </c>
      <c r="B189" s="3" t="s">
        <v>21</v>
      </c>
      <c r="C189" s="8">
        <v>3461</v>
      </c>
      <c r="D189" s="8">
        <v>365</v>
      </c>
      <c r="E189" s="8">
        <v>1134433</v>
      </c>
      <c r="F189" s="30">
        <f t="shared" si="6"/>
        <v>3096</v>
      </c>
      <c r="G189" s="30">
        <f t="shared" si="7"/>
        <v>1131337</v>
      </c>
      <c r="H189" s="31">
        <f t="shared" si="8"/>
        <v>0.27365851200835828</v>
      </c>
      <c r="I189" s="3">
        <v>10.23489267325616</v>
      </c>
      <c r="J189" s="8">
        <v>51903</v>
      </c>
    </row>
    <row r="190" spans="1:10" x14ac:dyDescent="0.3">
      <c r="A190" s="6" t="s">
        <v>311</v>
      </c>
      <c r="B190" s="3" t="s">
        <v>542</v>
      </c>
      <c r="C190" s="8">
        <v>1685</v>
      </c>
      <c r="D190" s="8">
        <v>173</v>
      </c>
      <c r="E190" s="8">
        <v>1135945</v>
      </c>
      <c r="F190" s="30">
        <f t="shared" si="6"/>
        <v>1512</v>
      </c>
      <c r="G190" s="30">
        <f t="shared" si="7"/>
        <v>1134433</v>
      </c>
      <c r="H190" s="31">
        <f t="shared" si="8"/>
        <v>0.13328244153687349</v>
      </c>
      <c r="I190" s="3">
        <v>8.7776256772995165</v>
      </c>
      <c r="J190" s="8">
        <v>49110</v>
      </c>
    </row>
    <row r="191" spans="1:10" x14ac:dyDescent="0.3">
      <c r="A191" s="6" t="s">
        <v>311</v>
      </c>
      <c r="B191" s="3" t="s">
        <v>44</v>
      </c>
      <c r="C191" s="8">
        <v>3160</v>
      </c>
      <c r="D191" s="8">
        <v>234</v>
      </c>
      <c r="E191" s="8">
        <v>1138871</v>
      </c>
      <c r="F191" s="30">
        <f t="shared" si="6"/>
        <v>2926</v>
      </c>
      <c r="G191" s="30">
        <f t="shared" si="7"/>
        <v>1135945</v>
      </c>
      <c r="H191" s="31">
        <f t="shared" si="8"/>
        <v>0.25758289353797942</v>
      </c>
      <c r="I191" s="3">
        <v>5.6959041015180816</v>
      </c>
      <c r="J191" s="8">
        <v>21929</v>
      </c>
    </row>
    <row r="192" spans="1:10" x14ac:dyDescent="0.3">
      <c r="A192" s="6" t="s">
        <v>311</v>
      </c>
      <c r="B192" s="3" t="s">
        <v>44</v>
      </c>
      <c r="C192" s="8">
        <v>8031</v>
      </c>
      <c r="D192" s="8">
        <v>476</v>
      </c>
      <c r="E192" s="8">
        <v>1146426</v>
      </c>
      <c r="F192" s="30">
        <f t="shared" si="6"/>
        <v>7555</v>
      </c>
      <c r="G192" s="30">
        <f t="shared" si="7"/>
        <v>1138871</v>
      </c>
      <c r="H192" s="31">
        <f t="shared" si="8"/>
        <v>0.66337627352000361</v>
      </c>
      <c r="I192" s="3">
        <v>11.940413075069831</v>
      </c>
      <c r="J192" s="8">
        <v>12539</v>
      </c>
    </row>
    <row r="193" spans="1:10" x14ac:dyDescent="0.3">
      <c r="A193" s="6" t="s">
        <v>311</v>
      </c>
      <c r="B193" s="3" t="s">
        <v>44</v>
      </c>
      <c r="C193" s="8">
        <v>6341</v>
      </c>
      <c r="D193" s="8">
        <v>885</v>
      </c>
      <c r="E193" s="8">
        <v>1151882</v>
      </c>
      <c r="F193" s="30">
        <f t="shared" si="6"/>
        <v>5456</v>
      </c>
      <c r="G193" s="30">
        <f t="shared" si="7"/>
        <v>1146426</v>
      </c>
      <c r="H193" s="31">
        <f t="shared" si="8"/>
        <v>0.47591384005596526</v>
      </c>
      <c r="I193" s="3">
        <v>6.3457020771224837</v>
      </c>
      <c r="J193" s="8">
        <v>46727</v>
      </c>
    </row>
    <row r="194" spans="1:10" x14ac:dyDescent="0.3">
      <c r="A194" s="6" t="s">
        <v>59</v>
      </c>
      <c r="B194" s="3" t="s">
        <v>542</v>
      </c>
      <c r="C194" s="8">
        <v>1038</v>
      </c>
      <c r="D194" s="8">
        <v>145</v>
      </c>
      <c r="E194" s="8">
        <v>1152775</v>
      </c>
      <c r="F194" s="30">
        <f t="shared" si="6"/>
        <v>893</v>
      </c>
      <c r="G194" s="30">
        <f t="shared" si="7"/>
        <v>1151882</v>
      </c>
      <c r="H194" s="31">
        <f t="shared" si="8"/>
        <v>7.752530207087184E-2</v>
      </c>
      <c r="I194" s="3">
        <v>11.093752033137431</v>
      </c>
      <c r="J194" s="8">
        <v>55951</v>
      </c>
    </row>
    <row r="195" spans="1:10" x14ac:dyDescent="0.3">
      <c r="A195" s="6" t="s">
        <v>59</v>
      </c>
      <c r="B195" s="3" t="s">
        <v>541</v>
      </c>
      <c r="C195" s="8">
        <v>5875</v>
      </c>
      <c r="D195" s="8">
        <v>665</v>
      </c>
      <c r="E195" s="8">
        <v>1157985</v>
      </c>
      <c r="F195" s="30">
        <f t="shared" ref="F195:F201" si="9">C195 -D195</f>
        <v>5210</v>
      </c>
      <c r="G195" s="30">
        <f t="shared" ref="G195:G201" si="10">E195 -F195</f>
        <v>1152775</v>
      </c>
      <c r="H195" s="31">
        <f t="shared" ref="H195:H201" si="11">(F195/G195)*100</f>
        <v>0.45195289627203922</v>
      </c>
      <c r="I195" s="3">
        <v>6.9871371390821126</v>
      </c>
      <c r="J195" s="8">
        <v>32669</v>
      </c>
    </row>
    <row r="196" spans="1:10" x14ac:dyDescent="0.3">
      <c r="A196" s="6" t="s">
        <v>59</v>
      </c>
      <c r="B196" s="3" t="s">
        <v>542</v>
      </c>
      <c r="C196" s="8">
        <v>2256</v>
      </c>
      <c r="D196" s="8">
        <v>189</v>
      </c>
      <c r="E196" s="8">
        <v>1160052</v>
      </c>
      <c r="F196" s="30">
        <f t="shared" si="9"/>
        <v>2067</v>
      </c>
      <c r="G196" s="30">
        <f t="shared" si="10"/>
        <v>1157985</v>
      </c>
      <c r="H196" s="31">
        <f t="shared" si="11"/>
        <v>0.17849972149898313</v>
      </c>
      <c r="I196" s="3">
        <v>2.8935771844710412</v>
      </c>
      <c r="J196" s="8">
        <v>15432</v>
      </c>
    </row>
    <row r="197" spans="1:10" x14ac:dyDescent="0.3">
      <c r="A197" s="6" t="s">
        <v>59</v>
      </c>
      <c r="B197" s="3" t="s">
        <v>21</v>
      </c>
      <c r="C197" s="8">
        <v>8697</v>
      </c>
      <c r="D197" s="8">
        <v>738</v>
      </c>
      <c r="E197" s="8">
        <v>1168011</v>
      </c>
      <c r="F197" s="30">
        <f t="shared" si="9"/>
        <v>7959</v>
      </c>
      <c r="G197" s="30">
        <f t="shared" si="10"/>
        <v>1160052</v>
      </c>
      <c r="H197" s="31">
        <f t="shared" si="11"/>
        <v>0.68608993389951478</v>
      </c>
      <c r="I197" s="3">
        <v>3.8777032065622672</v>
      </c>
      <c r="J197" s="8">
        <v>30644</v>
      </c>
    </row>
    <row r="198" spans="1:10" x14ac:dyDescent="0.3">
      <c r="A198" s="6" t="s">
        <v>22</v>
      </c>
      <c r="B198" s="3" t="s">
        <v>21</v>
      </c>
      <c r="C198" s="8">
        <v>3196</v>
      </c>
      <c r="D198" s="8">
        <v>391</v>
      </c>
      <c r="E198" s="8">
        <v>1170816</v>
      </c>
      <c r="F198" s="30">
        <f t="shared" si="9"/>
        <v>2805</v>
      </c>
      <c r="G198" s="30">
        <f t="shared" si="10"/>
        <v>1168011</v>
      </c>
      <c r="H198" s="31">
        <f t="shared" si="11"/>
        <v>0.24015184788499425</v>
      </c>
      <c r="I198" s="3">
        <v>7.2439221876024931</v>
      </c>
      <c r="J198" s="8">
        <v>28745</v>
      </c>
    </row>
    <row r="199" spans="1:10" x14ac:dyDescent="0.3">
      <c r="A199" s="6" t="s">
        <v>22</v>
      </c>
      <c r="B199" s="3" t="s">
        <v>542</v>
      </c>
      <c r="C199" s="8">
        <v>8165</v>
      </c>
      <c r="D199" s="8">
        <v>1140</v>
      </c>
      <c r="E199" s="8">
        <v>1177841</v>
      </c>
      <c r="F199" s="30">
        <f t="shared" si="9"/>
        <v>7025</v>
      </c>
      <c r="G199" s="30">
        <f t="shared" si="10"/>
        <v>1170816</v>
      </c>
      <c r="H199" s="31">
        <f t="shared" si="11"/>
        <v>0.60000888269377939</v>
      </c>
      <c r="I199" s="3">
        <v>9.095964565675672</v>
      </c>
      <c r="J199" s="8">
        <v>38228</v>
      </c>
    </row>
    <row r="200" spans="1:10" x14ac:dyDescent="0.3">
      <c r="A200" s="6" t="s">
        <v>22</v>
      </c>
      <c r="B200" s="3" t="s">
        <v>542</v>
      </c>
      <c r="C200" s="8">
        <v>1301</v>
      </c>
      <c r="D200" s="8">
        <v>180</v>
      </c>
      <c r="E200" s="8">
        <v>1178962</v>
      </c>
      <c r="F200" s="30">
        <f t="shared" si="9"/>
        <v>1121</v>
      </c>
      <c r="G200" s="30">
        <f t="shared" si="10"/>
        <v>1177841</v>
      </c>
      <c r="H200" s="31">
        <f t="shared" si="11"/>
        <v>9.5174136407206067E-2</v>
      </c>
      <c r="I200" s="3">
        <v>5.2275645864752214</v>
      </c>
      <c r="J200" s="8">
        <v>44521</v>
      </c>
    </row>
    <row r="201" spans="1:10" x14ac:dyDescent="0.3">
      <c r="A201" s="6" t="s">
        <v>22</v>
      </c>
      <c r="B201" s="3" t="s">
        <v>44</v>
      </c>
      <c r="C201" s="8">
        <v>8527</v>
      </c>
      <c r="D201" s="8">
        <v>1091</v>
      </c>
      <c r="E201" s="8">
        <v>1186398</v>
      </c>
      <c r="F201" s="30">
        <f t="shared" si="9"/>
        <v>7436</v>
      </c>
      <c r="G201" s="30">
        <f t="shared" si="10"/>
        <v>1178962</v>
      </c>
      <c r="H201" s="31">
        <f t="shared" si="11"/>
        <v>0.63072431511787486</v>
      </c>
      <c r="I201" s="3">
        <v>1.676081719625286</v>
      </c>
      <c r="J201" s="8">
        <v>41703</v>
      </c>
    </row>
  </sheetData>
  <mergeCells count="3">
    <mergeCell ref="O20:AB20"/>
    <mergeCell ref="O21:AB21"/>
    <mergeCell ref="O22:AB2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F21" sqref="F21"/>
    </sheetView>
  </sheetViews>
  <sheetFormatPr defaultColWidth="14.44140625" defaultRowHeight="15" customHeight="1" x14ac:dyDescent="0.3"/>
  <cols>
    <col min="1" max="1" width="26" style="2" bestFit="1" customWidth="1"/>
    <col min="2" max="3" width="10.33203125" style="2" bestFit="1" customWidth="1"/>
    <col min="4" max="4" width="23.6640625" style="2" bestFit="1" customWidth="1"/>
    <col min="5" max="5" width="9.6640625" style="2" bestFit="1" customWidth="1"/>
    <col min="6" max="6" width="11" style="2" bestFit="1" customWidth="1"/>
    <col min="7" max="7" width="17.44140625" style="2" bestFit="1" customWidth="1"/>
    <col min="8" max="28" width="8.6640625" style="2" customWidth="1"/>
    <col min="29" max="16384" width="14.44140625" style="2"/>
  </cols>
  <sheetData>
    <row r="1" spans="1:7" ht="14.25" customHeight="1" x14ac:dyDescent="0.3">
      <c r="A1" s="1" t="s">
        <v>526</v>
      </c>
      <c r="B1" s="1" t="s">
        <v>527</v>
      </c>
      <c r="C1" s="1" t="s">
        <v>528</v>
      </c>
      <c r="D1" s="1" t="s">
        <v>529</v>
      </c>
      <c r="E1" s="1" t="s">
        <v>507</v>
      </c>
      <c r="F1" s="1" t="s">
        <v>10</v>
      </c>
      <c r="G1" s="1" t="s">
        <v>530</v>
      </c>
    </row>
    <row r="2" spans="1:7" ht="14.25" customHeight="1" x14ac:dyDescent="0.3">
      <c r="A2" s="3" t="s">
        <v>30</v>
      </c>
      <c r="B2" s="6" t="s">
        <v>531</v>
      </c>
      <c r="C2" s="6" t="s">
        <v>264</v>
      </c>
      <c r="D2" s="3" t="s">
        <v>532</v>
      </c>
      <c r="E2" s="8">
        <v>85000</v>
      </c>
      <c r="F2" s="8">
        <v>950000</v>
      </c>
      <c r="G2" s="3">
        <v>0.45</v>
      </c>
    </row>
    <row r="3" spans="1:7" ht="14.25" customHeight="1" x14ac:dyDescent="0.3">
      <c r="A3" s="3" t="s">
        <v>53</v>
      </c>
      <c r="B3" s="6" t="s">
        <v>533</v>
      </c>
      <c r="C3" s="6" t="s">
        <v>534</v>
      </c>
      <c r="D3" s="3" t="s">
        <v>535</v>
      </c>
      <c r="E3" s="8">
        <v>60000</v>
      </c>
      <c r="F3" s="8">
        <v>780000</v>
      </c>
      <c r="G3" s="3">
        <v>0.38</v>
      </c>
    </row>
    <row r="4" spans="1:7" ht="14.25" customHeight="1" x14ac:dyDescent="0.3">
      <c r="A4" s="3" t="s">
        <v>16</v>
      </c>
      <c r="B4" s="6" t="s">
        <v>536</v>
      </c>
      <c r="C4" s="6" t="s">
        <v>247</v>
      </c>
      <c r="D4" s="3" t="s">
        <v>537</v>
      </c>
      <c r="E4" s="8">
        <v>55000</v>
      </c>
      <c r="F4" s="8">
        <v>700000</v>
      </c>
      <c r="G4" s="3">
        <v>0.41</v>
      </c>
    </row>
    <row r="5" spans="1:7" ht="14.25" customHeight="1" x14ac:dyDescent="0.3">
      <c r="A5" s="3" t="s">
        <v>25</v>
      </c>
      <c r="B5" s="6" t="s">
        <v>538</v>
      </c>
      <c r="C5" s="6" t="s">
        <v>523</v>
      </c>
      <c r="D5" s="3" t="s">
        <v>539</v>
      </c>
      <c r="E5" s="8">
        <v>40000</v>
      </c>
      <c r="F5" s="8">
        <v>550000</v>
      </c>
      <c r="G5" s="3">
        <v>0.32</v>
      </c>
    </row>
    <row r="6" spans="1:7" ht="14.25" customHeight="1" x14ac:dyDescent="0.3">
      <c r="A6" s="3" t="s">
        <v>19</v>
      </c>
      <c r="B6" s="6">
        <v>45901</v>
      </c>
      <c r="C6" s="6">
        <v>45930</v>
      </c>
      <c r="D6" s="3" t="s">
        <v>540</v>
      </c>
      <c r="E6" s="8">
        <v>75000</v>
      </c>
      <c r="F6" s="8">
        <v>880000</v>
      </c>
      <c r="G6" s="3">
        <v>0.47</v>
      </c>
    </row>
    <row r="7" spans="1:7" ht="14.25" customHeight="1" x14ac:dyDescent="0.3"/>
    <row r="8" spans="1:7" ht="14.25" customHeight="1" x14ac:dyDescent="0.3"/>
    <row r="9" spans="1:7" ht="14.25" customHeight="1" x14ac:dyDescent="0.3"/>
    <row r="10" spans="1:7" ht="14.25" customHeight="1" x14ac:dyDescent="0.3"/>
    <row r="11" spans="1:7" ht="14.25" customHeight="1" x14ac:dyDescent="0.3"/>
    <row r="12" spans="1:7" ht="14.25" customHeight="1" x14ac:dyDescent="0.3"/>
    <row r="13" spans="1:7" ht="14.25" customHeight="1" x14ac:dyDescent="0.3"/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2EBCD-BE7E-41CE-A893-D4416D3557C7}">
  <dimension ref="A1:S201"/>
  <sheetViews>
    <sheetView workbookViewId="0">
      <selection activeCell="I23" sqref="I23"/>
    </sheetView>
  </sheetViews>
  <sheetFormatPr defaultRowHeight="14.4" x14ac:dyDescent="0.3"/>
  <cols>
    <col min="1" max="1" width="15.77734375" bestFit="1" customWidth="1"/>
    <col min="2" max="2" width="9.109375" bestFit="1" customWidth="1"/>
    <col min="3" max="3" width="13.77734375" bestFit="1" customWidth="1"/>
    <col min="4" max="4" width="9.44140625" bestFit="1" customWidth="1"/>
    <col min="5" max="5" width="14.21875" bestFit="1" customWidth="1"/>
    <col min="6" max="6" width="14.21875" customWidth="1"/>
    <col min="7" max="7" width="9.6640625" bestFit="1" customWidth="1"/>
    <col min="8" max="8" width="16.44140625" bestFit="1" customWidth="1"/>
    <col min="10" max="10" width="13.109375" customWidth="1"/>
  </cols>
  <sheetData>
    <row r="1" spans="1:8" x14ac:dyDescent="0.3">
      <c r="A1" s="1" t="s">
        <v>502</v>
      </c>
      <c r="B1" s="1" t="s">
        <v>1</v>
      </c>
      <c r="C1" s="1" t="s">
        <v>503</v>
      </c>
      <c r="D1" s="1" t="s">
        <v>504</v>
      </c>
      <c r="E1" s="1" t="s">
        <v>505</v>
      </c>
      <c r="F1" s="37" t="s">
        <v>583</v>
      </c>
      <c r="G1" s="37" t="s">
        <v>507</v>
      </c>
      <c r="H1" s="1" t="s">
        <v>506</v>
      </c>
    </row>
    <row r="2" spans="1:8" x14ac:dyDescent="0.3">
      <c r="A2" s="6" t="s">
        <v>186</v>
      </c>
      <c r="B2" s="3" t="s">
        <v>21</v>
      </c>
      <c r="C2" s="8">
        <v>4138</v>
      </c>
      <c r="D2" s="8">
        <v>361</v>
      </c>
      <c r="E2" s="8">
        <v>103777</v>
      </c>
      <c r="F2" s="38">
        <f>C2-D2</f>
        <v>3777</v>
      </c>
      <c r="G2" s="38">
        <v>23944</v>
      </c>
      <c r="H2" s="3">
        <v>56.637790647253247</v>
      </c>
    </row>
    <row r="3" spans="1:8" x14ac:dyDescent="0.3">
      <c r="A3" s="6" t="s">
        <v>186</v>
      </c>
      <c r="B3" s="3" t="s">
        <v>44</v>
      </c>
      <c r="C3" s="8">
        <v>8693</v>
      </c>
      <c r="D3" s="8">
        <v>1261</v>
      </c>
      <c r="E3" s="8">
        <v>111209</v>
      </c>
      <c r="F3" s="38">
        <f t="shared" ref="F3:F66" si="0">C3-D3</f>
        <v>7432</v>
      </c>
      <c r="G3" s="38">
        <v>29873</v>
      </c>
      <c r="H3" s="3">
        <v>69.475492091467416</v>
      </c>
    </row>
    <row r="4" spans="1:8" x14ac:dyDescent="0.3">
      <c r="A4" s="6" t="s">
        <v>186</v>
      </c>
      <c r="B4" s="3" t="s">
        <v>541</v>
      </c>
      <c r="C4" s="8">
        <v>9264</v>
      </c>
      <c r="D4" s="8">
        <v>1141</v>
      </c>
      <c r="E4" s="8">
        <v>119332</v>
      </c>
      <c r="F4" s="38">
        <f t="shared" si="0"/>
        <v>8123</v>
      </c>
      <c r="G4" s="38">
        <v>50372</v>
      </c>
      <c r="H4" s="3">
        <v>92.312204605638044</v>
      </c>
    </row>
    <row r="5" spans="1:8" x14ac:dyDescent="0.3">
      <c r="A5" s="6" t="s">
        <v>186</v>
      </c>
      <c r="B5" s="3" t="s">
        <v>541</v>
      </c>
      <c r="C5" s="8">
        <v>8842</v>
      </c>
      <c r="D5" s="8">
        <v>971</v>
      </c>
      <c r="E5" s="8">
        <v>127203</v>
      </c>
      <c r="F5" s="38">
        <f t="shared" si="0"/>
        <v>7871</v>
      </c>
      <c r="G5" s="38">
        <v>33928</v>
      </c>
      <c r="H5" s="3">
        <v>16.351815601833291</v>
      </c>
    </row>
    <row r="6" spans="1:8" x14ac:dyDescent="0.3">
      <c r="A6" s="6" t="s">
        <v>199</v>
      </c>
      <c r="B6" s="3" t="s">
        <v>21</v>
      </c>
      <c r="C6" s="8">
        <v>7721</v>
      </c>
      <c r="D6" s="8">
        <v>506</v>
      </c>
      <c r="E6" s="8">
        <v>134418</v>
      </c>
      <c r="F6" s="38">
        <f t="shared" si="0"/>
        <v>7215</v>
      </c>
      <c r="G6" s="38">
        <v>25379</v>
      </c>
      <c r="H6" s="3">
        <v>35.577824398518047</v>
      </c>
    </row>
    <row r="7" spans="1:8" x14ac:dyDescent="0.3">
      <c r="A7" s="6" t="s">
        <v>199</v>
      </c>
      <c r="B7" s="3" t="s">
        <v>541</v>
      </c>
      <c r="C7" s="8">
        <v>8002</v>
      </c>
      <c r="D7" s="8">
        <v>524</v>
      </c>
      <c r="E7" s="8">
        <v>141896</v>
      </c>
      <c r="F7" s="38">
        <f t="shared" si="0"/>
        <v>7478</v>
      </c>
      <c r="G7" s="38">
        <v>46751</v>
      </c>
      <c r="H7" s="3">
        <v>52.064892597395271</v>
      </c>
    </row>
    <row r="8" spans="1:8" x14ac:dyDescent="0.3">
      <c r="A8" s="6" t="s">
        <v>199</v>
      </c>
      <c r="B8" s="3" t="s">
        <v>44</v>
      </c>
      <c r="C8" s="8">
        <v>5225</v>
      </c>
      <c r="D8" s="8">
        <v>291</v>
      </c>
      <c r="E8" s="8">
        <v>146830</v>
      </c>
      <c r="F8" s="38">
        <f t="shared" si="0"/>
        <v>4934</v>
      </c>
      <c r="G8" s="38">
        <v>44546</v>
      </c>
      <c r="H8" s="3">
        <v>19.551862698358651</v>
      </c>
    </row>
    <row r="9" spans="1:8" x14ac:dyDescent="0.3">
      <c r="A9" s="6" t="s">
        <v>199</v>
      </c>
      <c r="B9" s="3" t="s">
        <v>44</v>
      </c>
      <c r="C9" s="8">
        <v>3978</v>
      </c>
      <c r="D9" s="8">
        <v>543</v>
      </c>
      <c r="E9" s="8">
        <v>150265</v>
      </c>
      <c r="F9" s="38">
        <f t="shared" si="0"/>
        <v>3435</v>
      </c>
      <c r="G9" s="38">
        <v>34286</v>
      </c>
      <c r="H9" s="3">
        <v>49.159817655475329</v>
      </c>
    </row>
    <row r="10" spans="1:8" x14ac:dyDescent="0.3">
      <c r="A10" s="6" t="s">
        <v>124</v>
      </c>
      <c r="B10" s="3" t="s">
        <v>21</v>
      </c>
      <c r="C10" s="8">
        <v>8373</v>
      </c>
      <c r="D10" s="8">
        <v>921</v>
      </c>
      <c r="E10" s="8">
        <v>157717</v>
      </c>
      <c r="F10" s="38">
        <f t="shared" si="0"/>
        <v>7452</v>
      </c>
      <c r="G10" s="38">
        <v>15110</v>
      </c>
      <c r="H10" s="3">
        <v>12.2263294381709</v>
      </c>
    </row>
    <row r="11" spans="1:8" x14ac:dyDescent="0.3">
      <c r="A11" s="6" t="s">
        <v>124</v>
      </c>
      <c r="B11" s="3" t="s">
        <v>44</v>
      </c>
      <c r="C11" s="8">
        <v>6907</v>
      </c>
      <c r="D11" s="8">
        <v>834</v>
      </c>
      <c r="E11" s="8">
        <v>163790</v>
      </c>
      <c r="F11" s="38">
        <f t="shared" si="0"/>
        <v>6073</v>
      </c>
      <c r="G11" s="38">
        <v>22087</v>
      </c>
      <c r="H11" s="3">
        <v>54.158984064961238</v>
      </c>
    </row>
    <row r="12" spans="1:8" x14ac:dyDescent="0.3">
      <c r="A12" s="6" t="s">
        <v>124</v>
      </c>
      <c r="B12" s="3" t="s">
        <v>542</v>
      </c>
      <c r="C12" s="8">
        <v>7097</v>
      </c>
      <c r="D12" s="8">
        <v>369</v>
      </c>
      <c r="E12" s="8">
        <v>170518</v>
      </c>
      <c r="F12" s="38">
        <f t="shared" si="0"/>
        <v>6728</v>
      </c>
      <c r="G12" s="38">
        <v>33762</v>
      </c>
      <c r="H12" s="3">
        <v>9.2506362964613711</v>
      </c>
    </row>
    <row r="13" spans="1:8" x14ac:dyDescent="0.3">
      <c r="A13" s="6" t="s">
        <v>124</v>
      </c>
      <c r="B13" s="3" t="s">
        <v>21</v>
      </c>
      <c r="C13" s="8">
        <v>6656</v>
      </c>
      <c r="D13" s="8">
        <v>978</v>
      </c>
      <c r="E13" s="8">
        <v>176196</v>
      </c>
      <c r="F13" s="38">
        <f t="shared" si="0"/>
        <v>5678</v>
      </c>
      <c r="G13" s="38">
        <v>27081</v>
      </c>
      <c r="H13" s="3">
        <v>60.425889350496043</v>
      </c>
    </row>
    <row r="14" spans="1:8" x14ac:dyDescent="0.3">
      <c r="A14" s="6" t="s">
        <v>35</v>
      </c>
      <c r="B14" s="3" t="s">
        <v>44</v>
      </c>
      <c r="C14" s="8">
        <v>9984</v>
      </c>
      <c r="D14" s="8">
        <v>1330</v>
      </c>
      <c r="E14" s="8">
        <v>184850</v>
      </c>
      <c r="F14" s="38">
        <f t="shared" si="0"/>
        <v>8654</v>
      </c>
      <c r="G14" s="38">
        <v>44947</v>
      </c>
      <c r="H14" s="3">
        <v>57.524479307546663</v>
      </c>
    </row>
    <row r="15" spans="1:8" x14ac:dyDescent="0.3">
      <c r="A15" s="6" t="s">
        <v>35</v>
      </c>
      <c r="B15" s="3" t="s">
        <v>21</v>
      </c>
      <c r="C15" s="8">
        <v>5259</v>
      </c>
      <c r="D15" s="8">
        <v>374</v>
      </c>
      <c r="E15" s="8">
        <v>189735</v>
      </c>
      <c r="F15" s="38">
        <f t="shared" si="0"/>
        <v>4885</v>
      </c>
      <c r="G15" s="38">
        <v>19596</v>
      </c>
      <c r="H15" s="3">
        <v>14.827522597306769</v>
      </c>
    </row>
    <row r="16" spans="1:8" x14ac:dyDescent="0.3">
      <c r="A16" s="6" t="s">
        <v>35</v>
      </c>
      <c r="B16" s="3" t="s">
        <v>541</v>
      </c>
      <c r="C16" s="8">
        <v>9286</v>
      </c>
      <c r="D16" s="8">
        <v>633</v>
      </c>
      <c r="E16" s="8">
        <v>198388</v>
      </c>
      <c r="F16" s="38">
        <f t="shared" si="0"/>
        <v>8653</v>
      </c>
      <c r="G16" s="38">
        <v>48019</v>
      </c>
      <c r="H16" s="3">
        <v>5.4343004617214756</v>
      </c>
    </row>
    <row r="17" spans="1:19" x14ac:dyDescent="0.3">
      <c r="A17" s="6" t="s">
        <v>35</v>
      </c>
      <c r="B17" s="3" t="s">
        <v>44</v>
      </c>
      <c r="C17" s="8">
        <v>6901</v>
      </c>
      <c r="D17" s="8">
        <v>471</v>
      </c>
      <c r="E17" s="8">
        <v>204818</v>
      </c>
      <c r="F17" s="38">
        <f t="shared" si="0"/>
        <v>6430</v>
      </c>
      <c r="G17" s="38">
        <v>52003</v>
      </c>
      <c r="H17" s="3">
        <v>60.827661631301943</v>
      </c>
    </row>
    <row r="18" spans="1:19" x14ac:dyDescent="0.3">
      <c r="A18" s="6" t="s">
        <v>393</v>
      </c>
      <c r="B18" s="3" t="s">
        <v>542</v>
      </c>
      <c r="C18" s="8">
        <v>5917</v>
      </c>
      <c r="D18" s="8">
        <v>475</v>
      </c>
      <c r="E18" s="8">
        <v>210260</v>
      </c>
      <c r="F18" s="38">
        <f t="shared" si="0"/>
        <v>5442</v>
      </c>
      <c r="G18" s="38">
        <v>28313</v>
      </c>
      <c r="H18" s="3">
        <v>17.894035955483691</v>
      </c>
    </row>
    <row r="19" spans="1:19" x14ac:dyDescent="0.3">
      <c r="A19" s="6" t="s">
        <v>393</v>
      </c>
      <c r="B19" s="3" t="s">
        <v>44</v>
      </c>
      <c r="C19" s="8">
        <v>9429</v>
      </c>
      <c r="D19" s="8">
        <v>966</v>
      </c>
      <c r="E19" s="8">
        <v>218723</v>
      </c>
      <c r="F19" s="38">
        <f t="shared" si="0"/>
        <v>8463</v>
      </c>
      <c r="G19" s="38">
        <v>57639</v>
      </c>
      <c r="H19" s="3">
        <v>7.6914636320825887</v>
      </c>
      <c r="J19" s="35" t="s">
        <v>584</v>
      </c>
      <c r="K19" s="35">
        <f>CORREL(F1:F201,G1:G201)</f>
        <v>1.782102837472779E-2</v>
      </c>
      <c r="L19" s="36"/>
      <c r="M19" s="36"/>
    </row>
    <row r="20" spans="1:19" ht="44.4" customHeight="1" x14ac:dyDescent="0.3">
      <c r="A20" s="6" t="s">
        <v>393</v>
      </c>
      <c r="B20" s="3" t="s">
        <v>21</v>
      </c>
      <c r="C20" s="8">
        <v>3530</v>
      </c>
      <c r="D20" s="8">
        <v>328</v>
      </c>
      <c r="E20" s="8">
        <v>221925</v>
      </c>
      <c r="F20" s="38">
        <f t="shared" si="0"/>
        <v>3202</v>
      </c>
      <c r="G20" s="38">
        <v>11013</v>
      </c>
      <c r="H20" s="3">
        <v>12.8372197814577</v>
      </c>
      <c r="J20" s="49" t="s">
        <v>585</v>
      </c>
      <c r="K20" s="49"/>
      <c r="L20" s="49"/>
      <c r="M20" s="49"/>
      <c r="N20" s="49"/>
      <c r="O20" s="49"/>
      <c r="P20" s="49"/>
      <c r="Q20" s="49"/>
      <c r="R20" s="49"/>
      <c r="S20" s="49"/>
    </row>
    <row r="21" spans="1:19" x14ac:dyDescent="0.3">
      <c r="A21" s="6" t="s">
        <v>393</v>
      </c>
      <c r="B21" s="3" t="s">
        <v>21</v>
      </c>
      <c r="C21" s="8">
        <v>2960</v>
      </c>
      <c r="D21" s="8">
        <v>234</v>
      </c>
      <c r="E21" s="8">
        <v>224651</v>
      </c>
      <c r="F21" s="38">
        <f t="shared" si="0"/>
        <v>2726</v>
      </c>
      <c r="G21" s="38">
        <v>59378</v>
      </c>
      <c r="H21" s="3">
        <v>17.41278694508371</v>
      </c>
    </row>
    <row r="22" spans="1:19" x14ac:dyDescent="0.3">
      <c r="A22" s="6" t="s">
        <v>508</v>
      </c>
      <c r="B22" s="3" t="s">
        <v>44</v>
      </c>
      <c r="C22" s="8">
        <v>8045</v>
      </c>
      <c r="D22" s="8">
        <v>894</v>
      </c>
      <c r="E22" s="8">
        <v>231802</v>
      </c>
      <c r="F22" s="38">
        <f t="shared" si="0"/>
        <v>7151</v>
      </c>
      <c r="G22" s="38">
        <v>33705</v>
      </c>
      <c r="H22" s="3">
        <v>47.634187798207087</v>
      </c>
    </row>
    <row r="23" spans="1:19" x14ac:dyDescent="0.3">
      <c r="A23" s="6" t="s">
        <v>508</v>
      </c>
      <c r="B23" s="3" t="s">
        <v>542</v>
      </c>
      <c r="C23" s="8">
        <v>2048</v>
      </c>
      <c r="D23" s="8">
        <v>130</v>
      </c>
      <c r="E23" s="8">
        <v>233720</v>
      </c>
      <c r="F23" s="38">
        <f t="shared" si="0"/>
        <v>1918</v>
      </c>
      <c r="G23" s="38">
        <v>11828</v>
      </c>
      <c r="H23" s="3">
        <v>39.284614068115687</v>
      </c>
    </row>
    <row r="24" spans="1:19" x14ac:dyDescent="0.3">
      <c r="A24" s="6" t="s">
        <v>508</v>
      </c>
      <c r="B24" s="3" t="s">
        <v>542</v>
      </c>
      <c r="C24" s="8">
        <v>6772</v>
      </c>
      <c r="D24" s="8">
        <v>536</v>
      </c>
      <c r="E24" s="8">
        <v>239956</v>
      </c>
      <c r="F24" s="38">
        <f t="shared" si="0"/>
        <v>6236</v>
      </c>
      <c r="G24" s="38">
        <v>17909</v>
      </c>
      <c r="H24" s="3">
        <v>9.8205504342462788</v>
      </c>
    </row>
    <row r="25" spans="1:19" x14ac:dyDescent="0.3">
      <c r="A25" s="6" t="s">
        <v>508</v>
      </c>
      <c r="B25" s="3" t="s">
        <v>542</v>
      </c>
      <c r="C25" s="8">
        <v>3529</v>
      </c>
      <c r="D25" s="8">
        <v>305</v>
      </c>
      <c r="E25" s="8">
        <v>243180</v>
      </c>
      <c r="F25" s="38">
        <f t="shared" si="0"/>
        <v>3224</v>
      </c>
      <c r="G25" s="38">
        <v>48356</v>
      </c>
      <c r="H25" s="3">
        <v>41.606628834608109</v>
      </c>
    </row>
    <row r="26" spans="1:19" x14ac:dyDescent="0.3">
      <c r="A26" s="6" t="s">
        <v>264</v>
      </c>
      <c r="B26" s="3" t="s">
        <v>21</v>
      </c>
      <c r="C26" s="8">
        <v>3964</v>
      </c>
      <c r="D26" s="8">
        <v>378</v>
      </c>
      <c r="E26" s="8">
        <v>246766</v>
      </c>
      <c r="F26" s="38">
        <f t="shared" si="0"/>
        <v>3586</v>
      </c>
      <c r="G26" s="38">
        <v>23109</v>
      </c>
      <c r="H26" s="3">
        <v>13.6355899921383</v>
      </c>
    </row>
    <row r="27" spans="1:19" x14ac:dyDescent="0.3">
      <c r="A27" s="6" t="s">
        <v>264</v>
      </c>
      <c r="B27" s="3" t="s">
        <v>44</v>
      </c>
      <c r="C27" s="8">
        <v>8137</v>
      </c>
      <c r="D27" s="8">
        <v>1045</v>
      </c>
      <c r="E27" s="8">
        <v>253858</v>
      </c>
      <c r="F27" s="38">
        <f t="shared" si="0"/>
        <v>7092</v>
      </c>
      <c r="G27" s="38">
        <v>12023</v>
      </c>
      <c r="H27" s="3">
        <v>20.47246886054408</v>
      </c>
    </row>
    <row r="28" spans="1:19" x14ac:dyDescent="0.3">
      <c r="A28" s="6" t="s">
        <v>264</v>
      </c>
      <c r="B28" s="3" t="s">
        <v>541</v>
      </c>
      <c r="C28" s="8">
        <v>1963</v>
      </c>
      <c r="D28" s="8">
        <v>137</v>
      </c>
      <c r="E28" s="8">
        <v>255684</v>
      </c>
      <c r="F28" s="38">
        <f t="shared" si="0"/>
        <v>1826</v>
      </c>
      <c r="G28" s="38">
        <v>24537</v>
      </c>
      <c r="H28" s="3">
        <v>11.2083665774941</v>
      </c>
    </row>
    <row r="29" spans="1:19" x14ac:dyDescent="0.3">
      <c r="A29" s="6" t="s">
        <v>264</v>
      </c>
      <c r="B29" s="3" t="s">
        <v>21</v>
      </c>
      <c r="C29" s="8">
        <v>1536</v>
      </c>
      <c r="D29" s="8">
        <v>155</v>
      </c>
      <c r="E29" s="8">
        <v>257065</v>
      </c>
      <c r="F29" s="38">
        <f t="shared" si="0"/>
        <v>1381</v>
      </c>
      <c r="G29" s="38">
        <v>36661</v>
      </c>
      <c r="H29" s="3">
        <v>12.15762550327738</v>
      </c>
    </row>
    <row r="30" spans="1:19" x14ac:dyDescent="0.3">
      <c r="A30" s="6" t="s">
        <v>509</v>
      </c>
      <c r="B30" s="3" t="s">
        <v>542</v>
      </c>
      <c r="C30" s="8">
        <v>8340</v>
      </c>
      <c r="D30" s="8">
        <v>911</v>
      </c>
      <c r="E30" s="8">
        <v>264494</v>
      </c>
      <c r="F30" s="38">
        <f t="shared" si="0"/>
        <v>7429</v>
      </c>
      <c r="G30" s="38">
        <v>48659</v>
      </c>
      <c r="H30" s="3">
        <v>37.302925586213682</v>
      </c>
    </row>
    <row r="31" spans="1:19" x14ac:dyDescent="0.3">
      <c r="A31" s="6" t="s">
        <v>509</v>
      </c>
      <c r="B31" s="3" t="s">
        <v>44</v>
      </c>
      <c r="C31" s="8">
        <v>8179</v>
      </c>
      <c r="D31" s="8">
        <v>446</v>
      </c>
      <c r="E31" s="8">
        <v>272227</v>
      </c>
      <c r="F31" s="38">
        <f t="shared" si="0"/>
        <v>7733</v>
      </c>
      <c r="G31" s="38">
        <v>43848</v>
      </c>
      <c r="H31" s="3">
        <v>41.82171496581897</v>
      </c>
    </row>
    <row r="32" spans="1:19" x14ac:dyDescent="0.3">
      <c r="A32" s="6" t="s">
        <v>509</v>
      </c>
      <c r="B32" s="3" t="s">
        <v>542</v>
      </c>
      <c r="C32" s="8">
        <v>8967</v>
      </c>
      <c r="D32" s="8">
        <v>993</v>
      </c>
      <c r="E32" s="8">
        <v>280201</v>
      </c>
      <c r="F32" s="38">
        <f t="shared" si="0"/>
        <v>7974</v>
      </c>
      <c r="G32" s="38">
        <v>47804</v>
      </c>
      <c r="H32" s="3">
        <v>52.792102811910027</v>
      </c>
    </row>
    <row r="33" spans="1:8" x14ac:dyDescent="0.3">
      <c r="A33" s="6" t="s">
        <v>509</v>
      </c>
      <c r="B33" s="3" t="s">
        <v>541</v>
      </c>
      <c r="C33" s="8">
        <v>9734</v>
      </c>
      <c r="D33" s="8">
        <v>652</v>
      </c>
      <c r="E33" s="8">
        <v>289283</v>
      </c>
      <c r="F33" s="38">
        <f t="shared" si="0"/>
        <v>9082</v>
      </c>
      <c r="G33" s="38">
        <v>25379</v>
      </c>
      <c r="H33" s="3">
        <v>49.647922622483861</v>
      </c>
    </row>
    <row r="34" spans="1:8" x14ac:dyDescent="0.3">
      <c r="A34" s="6" t="s">
        <v>219</v>
      </c>
      <c r="B34" s="3" t="s">
        <v>542</v>
      </c>
      <c r="C34" s="8">
        <v>1845</v>
      </c>
      <c r="D34" s="8">
        <v>104</v>
      </c>
      <c r="E34" s="8">
        <v>291024</v>
      </c>
      <c r="F34" s="38">
        <f t="shared" si="0"/>
        <v>1741</v>
      </c>
      <c r="G34" s="38">
        <v>37766</v>
      </c>
      <c r="H34" s="3">
        <v>28.158158777282971</v>
      </c>
    </row>
    <row r="35" spans="1:8" x14ac:dyDescent="0.3">
      <c r="A35" s="6" t="s">
        <v>219</v>
      </c>
      <c r="B35" s="3" t="s">
        <v>542</v>
      </c>
      <c r="C35" s="8">
        <v>6777</v>
      </c>
      <c r="D35" s="8">
        <v>981</v>
      </c>
      <c r="E35" s="8">
        <v>296820</v>
      </c>
      <c r="F35" s="38">
        <f t="shared" si="0"/>
        <v>5796</v>
      </c>
      <c r="G35" s="38">
        <v>53590</v>
      </c>
      <c r="H35" s="3">
        <v>23.920557913887201</v>
      </c>
    </row>
    <row r="36" spans="1:8" x14ac:dyDescent="0.3">
      <c r="A36" s="6" t="s">
        <v>219</v>
      </c>
      <c r="B36" s="3" t="s">
        <v>541</v>
      </c>
      <c r="C36" s="8">
        <v>4036</v>
      </c>
      <c r="D36" s="8">
        <v>591</v>
      </c>
      <c r="E36" s="8">
        <v>300265</v>
      </c>
      <c r="F36" s="38">
        <f t="shared" si="0"/>
        <v>3445</v>
      </c>
      <c r="G36" s="38">
        <v>12563</v>
      </c>
      <c r="H36" s="3">
        <v>44.219272975538267</v>
      </c>
    </row>
    <row r="37" spans="1:8" x14ac:dyDescent="0.3">
      <c r="A37" s="6" t="s">
        <v>219</v>
      </c>
      <c r="B37" s="3" t="s">
        <v>44</v>
      </c>
      <c r="C37" s="8">
        <v>6947</v>
      </c>
      <c r="D37" s="8">
        <v>908</v>
      </c>
      <c r="E37" s="8">
        <v>306304</v>
      </c>
      <c r="F37" s="38">
        <f t="shared" si="0"/>
        <v>6039</v>
      </c>
      <c r="G37" s="38">
        <v>46060</v>
      </c>
      <c r="H37" s="3">
        <v>14.117673944839121</v>
      </c>
    </row>
    <row r="38" spans="1:8" x14ac:dyDescent="0.3">
      <c r="A38" s="6" t="s">
        <v>435</v>
      </c>
      <c r="B38" s="3" t="s">
        <v>21</v>
      </c>
      <c r="C38" s="8">
        <v>3494</v>
      </c>
      <c r="D38" s="8">
        <v>281</v>
      </c>
      <c r="E38" s="8">
        <v>309517</v>
      </c>
      <c r="F38" s="38">
        <f t="shared" si="0"/>
        <v>3213</v>
      </c>
      <c r="G38" s="38">
        <v>39197</v>
      </c>
      <c r="H38" s="3">
        <v>27.765518533715429</v>
      </c>
    </row>
    <row r="39" spans="1:8" x14ac:dyDescent="0.3">
      <c r="A39" s="6" t="s">
        <v>435</v>
      </c>
      <c r="B39" s="3" t="s">
        <v>44</v>
      </c>
      <c r="C39" s="8">
        <v>3719</v>
      </c>
      <c r="D39" s="8">
        <v>222</v>
      </c>
      <c r="E39" s="8">
        <v>313014</v>
      </c>
      <c r="F39" s="38">
        <f t="shared" si="0"/>
        <v>3497</v>
      </c>
      <c r="G39" s="38">
        <v>13586</v>
      </c>
      <c r="H39" s="3">
        <v>21.669318305251519</v>
      </c>
    </row>
    <row r="40" spans="1:8" x14ac:dyDescent="0.3">
      <c r="A40" s="6" t="s">
        <v>435</v>
      </c>
      <c r="B40" s="3" t="s">
        <v>541</v>
      </c>
      <c r="C40" s="8">
        <v>2884</v>
      </c>
      <c r="D40" s="8">
        <v>341</v>
      </c>
      <c r="E40" s="8">
        <v>315557</v>
      </c>
      <c r="F40" s="38">
        <f t="shared" si="0"/>
        <v>2543</v>
      </c>
      <c r="G40" s="38">
        <v>26087</v>
      </c>
      <c r="H40" s="3">
        <v>46.999749649033298</v>
      </c>
    </row>
    <row r="41" spans="1:8" x14ac:dyDescent="0.3">
      <c r="A41" s="6" t="s">
        <v>435</v>
      </c>
      <c r="B41" s="3" t="s">
        <v>542</v>
      </c>
      <c r="C41" s="8">
        <v>5349</v>
      </c>
      <c r="D41" s="8">
        <v>502</v>
      </c>
      <c r="E41" s="8">
        <v>320404</v>
      </c>
      <c r="F41" s="38">
        <f t="shared" si="0"/>
        <v>4847</v>
      </c>
      <c r="G41" s="38">
        <v>58868</v>
      </c>
      <c r="H41" s="3">
        <v>5.2152906954969351</v>
      </c>
    </row>
    <row r="42" spans="1:8" x14ac:dyDescent="0.3">
      <c r="A42" s="6" t="s">
        <v>27</v>
      </c>
      <c r="B42" s="3" t="s">
        <v>44</v>
      </c>
      <c r="C42" s="8">
        <v>6179</v>
      </c>
      <c r="D42" s="8">
        <v>384</v>
      </c>
      <c r="E42" s="8">
        <v>326199</v>
      </c>
      <c r="F42" s="38">
        <f t="shared" si="0"/>
        <v>5795</v>
      </c>
      <c r="G42" s="38">
        <v>33225</v>
      </c>
      <c r="H42" s="3">
        <v>14.71218489327067</v>
      </c>
    </row>
    <row r="43" spans="1:8" x14ac:dyDescent="0.3">
      <c r="A43" s="6" t="s">
        <v>27</v>
      </c>
      <c r="B43" s="3" t="s">
        <v>21</v>
      </c>
      <c r="C43" s="8">
        <v>7610</v>
      </c>
      <c r="D43" s="8">
        <v>757</v>
      </c>
      <c r="E43" s="8">
        <v>333052</v>
      </c>
      <c r="F43" s="38">
        <f t="shared" si="0"/>
        <v>6853</v>
      </c>
      <c r="G43" s="38">
        <v>39750</v>
      </c>
      <c r="H43" s="3">
        <v>44.450416151231643</v>
      </c>
    </row>
    <row r="44" spans="1:8" x14ac:dyDescent="0.3">
      <c r="A44" s="6" t="s">
        <v>27</v>
      </c>
      <c r="B44" s="3" t="s">
        <v>541</v>
      </c>
      <c r="C44" s="8">
        <v>7430</v>
      </c>
      <c r="D44" s="8">
        <v>397</v>
      </c>
      <c r="E44" s="8">
        <v>340085</v>
      </c>
      <c r="F44" s="38">
        <f t="shared" si="0"/>
        <v>7033</v>
      </c>
      <c r="G44" s="38">
        <v>16643</v>
      </c>
      <c r="H44" s="3">
        <v>28.065042562888689</v>
      </c>
    </row>
    <row r="45" spans="1:8" x14ac:dyDescent="0.3">
      <c r="A45" s="6" t="s">
        <v>27</v>
      </c>
      <c r="B45" s="3" t="s">
        <v>44</v>
      </c>
      <c r="C45" s="8">
        <v>8154</v>
      </c>
      <c r="D45" s="8">
        <v>1149</v>
      </c>
      <c r="E45" s="8">
        <v>347090</v>
      </c>
      <c r="F45" s="38">
        <f t="shared" si="0"/>
        <v>7005</v>
      </c>
      <c r="G45" s="38">
        <v>37523</v>
      </c>
      <c r="H45" s="3">
        <v>26.003918292085629</v>
      </c>
    </row>
    <row r="46" spans="1:8" x14ac:dyDescent="0.3">
      <c r="A46" s="6" t="s">
        <v>62</v>
      </c>
      <c r="B46" s="3" t="s">
        <v>21</v>
      </c>
      <c r="C46" s="8">
        <v>7488</v>
      </c>
      <c r="D46" s="8">
        <v>568</v>
      </c>
      <c r="E46" s="8">
        <v>354010</v>
      </c>
      <c r="F46" s="38">
        <f t="shared" si="0"/>
        <v>6920</v>
      </c>
      <c r="G46" s="38">
        <v>46727</v>
      </c>
      <c r="H46" s="3">
        <v>13.47730290104799</v>
      </c>
    </row>
    <row r="47" spans="1:8" x14ac:dyDescent="0.3">
      <c r="A47" s="6" t="s">
        <v>62</v>
      </c>
      <c r="B47" s="3" t="s">
        <v>541</v>
      </c>
      <c r="C47" s="8">
        <v>5737</v>
      </c>
      <c r="D47" s="8">
        <v>666</v>
      </c>
      <c r="E47" s="8">
        <v>359081</v>
      </c>
      <c r="F47" s="38">
        <f t="shared" si="0"/>
        <v>5071</v>
      </c>
      <c r="G47" s="38">
        <v>21005</v>
      </c>
      <c r="H47" s="3">
        <v>4.6034181702735593</v>
      </c>
    </row>
    <row r="48" spans="1:8" x14ac:dyDescent="0.3">
      <c r="A48" s="6" t="s">
        <v>62</v>
      </c>
      <c r="B48" s="3" t="s">
        <v>21</v>
      </c>
      <c r="C48" s="8">
        <v>7525</v>
      </c>
      <c r="D48" s="8">
        <v>610</v>
      </c>
      <c r="E48" s="8">
        <v>365996</v>
      </c>
      <c r="F48" s="38">
        <f t="shared" si="0"/>
        <v>6915</v>
      </c>
      <c r="G48" s="38">
        <v>53543</v>
      </c>
      <c r="H48" s="3">
        <v>5.7694619613329108</v>
      </c>
    </row>
    <row r="49" spans="1:8" x14ac:dyDescent="0.3">
      <c r="A49" s="6" t="s">
        <v>62</v>
      </c>
      <c r="B49" s="3" t="s">
        <v>541</v>
      </c>
      <c r="C49" s="8">
        <v>4850</v>
      </c>
      <c r="D49" s="8">
        <v>494</v>
      </c>
      <c r="E49" s="8">
        <v>370352</v>
      </c>
      <c r="F49" s="38">
        <f t="shared" si="0"/>
        <v>4356</v>
      </c>
      <c r="G49" s="38">
        <v>10161</v>
      </c>
      <c r="H49" s="3">
        <v>20.46539508359615</v>
      </c>
    </row>
    <row r="50" spans="1:8" x14ac:dyDescent="0.3">
      <c r="A50" s="6" t="s">
        <v>57</v>
      </c>
      <c r="B50" s="3" t="s">
        <v>542</v>
      </c>
      <c r="C50" s="8">
        <v>1689</v>
      </c>
      <c r="D50" s="8">
        <v>176</v>
      </c>
      <c r="E50" s="8">
        <v>371865</v>
      </c>
      <c r="F50" s="38">
        <f t="shared" si="0"/>
        <v>1513</v>
      </c>
      <c r="G50" s="38">
        <v>26029</v>
      </c>
      <c r="H50" s="3">
        <v>38.012181840183942</v>
      </c>
    </row>
    <row r="51" spans="1:8" x14ac:dyDescent="0.3">
      <c r="A51" s="6" t="s">
        <v>57</v>
      </c>
      <c r="B51" s="3" t="s">
        <v>44</v>
      </c>
      <c r="C51" s="8">
        <v>6175</v>
      </c>
      <c r="D51" s="8">
        <v>422</v>
      </c>
      <c r="E51" s="8">
        <v>377618</v>
      </c>
      <c r="F51" s="38">
        <f t="shared" si="0"/>
        <v>5753</v>
      </c>
      <c r="G51" s="38">
        <v>59745</v>
      </c>
      <c r="H51" s="3">
        <v>37.86101298137271</v>
      </c>
    </row>
    <row r="52" spans="1:8" x14ac:dyDescent="0.3">
      <c r="A52" s="6" t="s">
        <v>57</v>
      </c>
      <c r="B52" s="3" t="s">
        <v>21</v>
      </c>
      <c r="C52" s="8">
        <v>9648</v>
      </c>
      <c r="D52" s="8">
        <v>1417</v>
      </c>
      <c r="E52" s="8">
        <v>385849</v>
      </c>
      <c r="F52" s="38">
        <f t="shared" si="0"/>
        <v>8231</v>
      </c>
      <c r="G52" s="38">
        <v>24226</v>
      </c>
      <c r="H52" s="3">
        <v>3.6633501706626168</v>
      </c>
    </row>
    <row r="53" spans="1:8" x14ac:dyDescent="0.3">
      <c r="A53" s="6" t="s">
        <v>57</v>
      </c>
      <c r="B53" s="3" t="s">
        <v>541</v>
      </c>
      <c r="C53" s="8">
        <v>6078</v>
      </c>
      <c r="D53" s="8">
        <v>775</v>
      </c>
      <c r="E53" s="8">
        <v>391152</v>
      </c>
      <c r="F53" s="38">
        <f t="shared" si="0"/>
        <v>5303</v>
      </c>
      <c r="G53" s="38">
        <v>38731</v>
      </c>
      <c r="H53" s="3">
        <v>37.760512537325639</v>
      </c>
    </row>
    <row r="54" spans="1:8" x14ac:dyDescent="0.3">
      <c r="A54" s="6" t="s">
        <v>154</v>
      </c>
      <c r="B54" s="3" t="s">
        <v>21</v>
      </c>
      <c r="C54" s="8">
        <v>6448</v>
      </c>
      <c r="D54" s="8">
        <v>928</v>
      </c>
      <c r="E54" s="8">
        <v>396672</v>
      </c>
      <c r="F54" s="38">
        <f t="shared" si="0"/>
        <v>5520</v>
      </c>
      <c r="G54" s="38">
        <v>53922</v>
      </c>
      <c r="H54" s="3">
        <v>30.118586640851881</v>
      </c>
    </row>
    <row r="55" spans="1:8" x14ac:dyDescent="0.3">
      <c r="A55" s="6" t="s">
        <v>154</v>
      </c>
      <c r="B55" s="3" t="s">
        <v>21</v>
      </c>
      <c r="C55" s="8">
        <v>2179</v>
      </c>
      <c r="D55" s="8">
        <v>303</v>
      </c>
      <c r="E55" s="8">
        <v>398548</v>
      </c>
      <c r="F55" s="38">
        <f t="shared" si="0"/>
        <v>1876</v>
      </c>
      <c r="G55" s="38">
        <v>54848</v>
      </c>
      <c r="H55" s="3">
        <v>33.909842729106657</v>
      </c>
    </row>
    <row r="56" spans="1:8" x14ac:dyDescent="0.3">
      <c r="A56" s="6" t="s">
        <v>154</v>
      </c>
      <c r="B56" s="3" t="s">
        <v>44</v>
      </c>
      <c r="C56" s="8">
        <v>7406</v>
      </c>
      <c r="D56" s="8">
        <v>813</v>
      </c>
      <c r="E56" s="8">
        <v>405141</v>
      </c>
      <c r="F56" s="38">
        <f t="shared" si="0"/>
        <v>6593</v>
      </c>
      <c r="G56" s="38">
        <v>13390</v>
      </c>
      <c r="H56" s="3">
        <v>24.457411123534769</v>
      </c>
    </row>
    <row r="57" spans="1:8" x14ac:dyDescent="0.3">
      <c r="A57" s="6" t="s">
        <v>154</v>
      </c>
      <c r="B57" s="3" t="s">
        <v>542</v>
      </c>
      <c r="C57" s="8">
        <v>9591</v>
      </c>
      <c r="D57" s="8">
        <v>1363</v>
      </c>
      <c r="E57" s="8">
        <v>413369</v>
      </c>
      <c r="F57" s="38">
        <f t="shared" si="0"/>
        <v>8228</v>
      </c>
      <c r="G57" s="38">
        <v>15997</v>
      </c>
      <c r="H57" s="3">
        <v>10.494255737609739</v>
      </c>
    </row>
    <row r="58" spans="1:8" x14ac:dyDescent="0.3">
      <c r="A58" s="6" t="s">
        <v>66</v>
      </c>
      <c r="B58" s="3" t="s">
        <v>21</v>
      </c>
      <c r="C58" s="8">
        <v>7907</v>
      </c>
      <c r="D58" s="8">
        <v>465</v>
      </c>
      <c r="E58" s="8">
        <v>420811</v>
      </c>
      <c r="F58" s="38">
        <f t="shared" si="0"/>
        <v>7442</v>
      </c>
      <c r="G58" s="38">
        <v>22693</v>
      </c>
      <c r="H58" s="3">
        <v>33.257448118038738</v>
      </c>
    </row>
    <row r="59" spans="1:8" x14ac:dyDescent="0.3">
      <c r="A59" s="6" t="s">
        <v>66</v>
      </c>
      <c r="B59" s="3" t="s">
        <v>541</v>
      </c>
      <c r="C59" s="8">
        <v>9800</v>
      </c>
      <c r="D59" s="8">
        <v>682</v>
      </c>
      <c r="E59" s="8">
        <v>429929</v>
      </c>
      <c r="F59" s="38">
        <f t="shared" si="0"/>
        <v>9118</v>
      </c>
      <c r="G59" s="38">
        <v>59815</v>
      </c>
      <c r="H59" s="3">
        <v>6.2966210699906267</v>
      </c>
    </row>
    <row r="60" spans="1:8" x14ac:dyDescent="0.3">
      <c r="A60" s="6" t="s">
        <v>66</v>
      </c>
      <c r="B60" s="3" t="s">
        <v>541</v>
      </c>
      <c r="C60" s="8">
        <v>2638</v>
      </c>
      <c r="D60" s="8">
        <v>143</v>
      </c>
      <c r="E60" s="8">
        <v>432424</v>
      </c>
      <c r="F60" s="38">
        <f t="shared" si="0"/>
        <v>2495</v>
      </c>
      <c r="G60" s="38">
        <v>52092</v>
      </c>
      <c r="H60" s="3">
        <v>6.9547481175882924</v>
      </c>
    </row>
    <row r="61" spans="1:8" x14ac:dyDescent="0.3">
      <c r="A61" s="6" t="s">
        <v>66</v>
      </c>
      <c r="B61" s="3" t="s">
        <v>542</v>
      </c>
      <c r="C61" s="8">
        <v>6671</v>
      </c>
      <c r="D61" s="8">
        <v>550</v>
      </c>
      <c r="E61" s="8">
        <v>438545</v>
      </c>
      <c r="F61" s="38">
        <f t="shared" si="0"/>
        <v>6121</v>
      </c>
      <c r="G61" s="38">
        <v>10541</v>
      </c>
      <c r="H61" s="3">
        <v>17.750287883797562</v>
      </c>
    </row>
    <row r="62" spans="1:8" x14ac:dyDescent="0.3">
      <c r="A62" s="6" t="s">
        <v>510</v>
      </c>
      <c r="B62" s="3" t="s">
        <v>541</v>
      </c>
      <c r="C62" s="8">
        <v>7928</v>
      </c>
      <c r="D62" s="8">
        <v>704</v>
      </c>
      <c r="E62" s="8">
        <v>445769</v>
      </c>
      <c r="F62" s="38">
        <f t="shared" si="0"/>
        <v>7224</v>
      </c>
      <c r="G62" s="38">
        <v>31817</v>
      </c>
      <c r="H62" s="3">
        <v>11.194362999670229</v>
      </c>
    </row>
    <row r="63" spans="1:8" x14ac:dyDescent="0.3">
      <c r="A63" s="6" t="s">
        <v>510</v>
      </c>
      <c r="B63" s="3" t="s">
        <v>542</v>
      </c>
      <c r="C63" s="8">
        <v>2382</v>
      </c>
      <c r="D63" s="8">
        <v>183</v>
      </c>
      <c r="E63" s="8">
        <v>447968</v>
      </c>
      <c r="F63" s="38">
        <f t="shared" si="0"/>
        <v>2199</v>
      </c>
      <c r="G63" s="38">
        <v>47861</v>
      </c>
      <c r="H63" s="3">
        <v>4.7335970426459033</v>
      </c>
    </row>
    <row r="64" spans="1:8" x14ac:dyDescent="0.3">
      <c r="A64" s="6" t="s">
        <v>510</v>
      </c>
      <c r="B64" s="3" t="s">
        <v>541</v>
      </c>
      <c r="C64" s="8">
        <v>2403</v>
      </c>
      <c r="D64" s="8">
        <v>319</v>
      </c>
      <c r="E64" s="8">
        <v>450052</v>
      </c>
      <c r="F64" s="38">
        <f t="shared" si="0"/>
        <v>2084</v>
      </c>
      <c r="G64" s="38">
        <v>23428</v>
      </c>
      <c r="H64" s="3">
        <v>29.92120910472568</v>
      </c>
    </row>
    <row r="65" spans="1:8" x14ac:dyDescent="0.3">
      <c r="A65" s="6" t="s">
        <v>510</v>
      </c>
      <c r="B65" s="3" t="s">
        <v>44</v>
      </c>
      <c r="C65" s="8">
        <v>4292</v>
      </c>
      <c r="D65" s="8">
        <v>367</v>
      </c>
      <c r="E65" s="8">
        <v>453977</v>
      </c>
      <c r="F65" s="38">
        <f t="shared" si="0"/>
        <v>3925</v>
      </c>
      <c r="G65" s="38">
        <v>53934</v>
      </c>
      <c r="H65" s="3">
        <v>3.5037017293827661</v>
      </c>
    </row>
    <row r="66" spans="1:8" x14ac:dyDescent="0.3">
      <c r="A66" s="6" t="s">
        <v>511</v>
      </c>
      <c r="B66" s="3" t="s">
        <v>21</v>
      </c>
      <c r="C66" s="8">
        <v>1419</v>
      </c>
      <c r="D66" s="8">
        <v>110</v>
      </c>
      <c r="E66" s="8">
        <v>455286</v>
      </c>
      <c r="F66" s="38">
        <f t="shared" si="0"/>
        <v>1309</v>
      </c>
      <c r="G66" s="38">
        <v>58831</v>
      </c>
      <c r="H66" s="3">
        <v>31.554451487636339</v>
      </c>
    </row>
    <row r="67" spans="1:8" x14ac:dyDescent="0.3">
      <c r="A67" s="6" t="s">
        <v>511</v>
      </c>
      <c r="B67" s="3" t="s">
        <v>44</v>
      </c>
      <c r="C67" s="8">
        <v>5517</v>
      </c>
      <c r="D67" s="8">
        <v>575</v>
      </c>
      <c r="E67" s="8">
        <v>460228</v>
      </c>
      <c r="F67" s="38">
        <f t="shared" ref="F67:F130" si="1">C67-D67</f>
        <v>4942</v>
      </c>
      <c r="G67" s="38">
        <v>20258</v>
      </c>
      <c r="H67" s="3">
        <v>29.45844233727631</v>
      </c>
    </row>
    <row r="68" spans="1:8" x14ac:dyDescent="0.3">
      <c r="A68" s="6" t="s">
        <v>511</v>
      </c>
      <c r="B68" s="3" t="s">
        <v>21</v>
      </c>
      <c r="C68" s="8">
        <v>4302</v>
      </c>
      <c r="D68" s="8">
        <v>275</v>
      </c>
      <c r="E68" s="8">
        <v>464255</v>
      </c>
      <c r="F68" s="38">
        <f t="shared" si="1"/>
        <v>4027</v>
      </c>
      <c r="G68" s="38">
        <v>26044</v>
      </c>
      <c r="H68" s="3">
        <v>15.72131694865968</v>
      </c>
    </row>
    <row r="69" spans="1:8" x14ac:dyDescent="0.3">
      <c r="A69" s="6" t="s">
        <v>511</v>
      </c>
      <c r="B69" s="3" t="s">
        <v>21</v>
      </c>
      <c r="C69" s="8">
        <v>8857</v>
      </c>
      <c r="D69" s="8">
        <v>1153</v>
      </c>
      <c r="E69" s="8">
        <v>471959</v>
      </c>
      <c r="F69" s="38">
        <f t="shared" si="1"/>
        <v>7704</v>
      </c>
      <c r="G69" s="38">
        <v>39411</v>
      </c>
      <c r="H69" s="3">
        <v>19.214592793018038</v>
      </c>
    </row>
    <row r="70" spans="1:8" x14ac:dyDescent="0.3">
      <c r="A70" s="6" t="s">
        <v>512</v>
      </c>
      <c r="B70" s="3" t="s">
        <v>21</v>
      </c>
      <c r="C70" s="8">
        <v>8870</v>
      </c>
      <c r="D70" s="8">
        <v>509</v>
      </c>
      <c r="E70" s="8">
        <v>480320</v>
      </c>
      <c r="F70" s="38">
        <f t="shared" si="1"/>
        <v>8361</v>
      </c>
      <c r="G70" s="38">
        <v>15469</v>
      </c>
      <c r="H70" s="3">
        <v>25.077864756828781</v>
      </c>
    </row>
    <row r="71" spans="1:8" x14ac:dyDescent="0.3">
      <c r="A71" s="6" t="s">
        <v>512</v>
      </c>
      <c r="B71" s="3" t="s">
        <v>44</v>
      </c>
      <c r="C71" s="8">
        <v>6693</v>
      </c>
      <c r="D71" s="8">
        <v>995</v>
      </c>
      <c r="E71" s="8">
        <v>486018</v>
      </c>
      <c r="F71" s="38">
        <f t="shared" si="1"/>
        <v>5698</v>
      </c>
      <c r="G71" s="38">
        <v>38854</v>
      </c>
      <c r="H71" s="3">
        <v>23.761877132122681</v>
      </c>
    </row>
    <row r="72" spans="1:8" x14ac:dyDescent="0.3">
      <c r="A72" s="6" t="s">
        <v>512</v>
      </c>
      <c r="B72" s="3" t="s">
        <v>21</v>
      </c>
      <c r="C72" s="8">
        <v>1767</v>
      </c>
      <c r="D72" s="8">
        <v>224</v>
      </c>
      <c r="E72" s="8">
        <v>487561</v>
      </c>
      <c r="F72" s="38">
        <f t="shared" si="1"/>
        <v>1543</v>
      </c>
      <c r="G72" s="38">
        <v>16256</v>
      </c>
      <c r="H72" s="3">
        <v>13.208603641390511</v>
      </c>
    </row>
    <row r="73" spans="1:8" x14ac:dyDescent="0.3">
      <c r="A73" s="6" t="s">
        <v>512</v>
      </c>
      <c r="B73" s="3" t="s">
        <v>44</v>
      </c>
      <c r="C73" s="8">
        <v>3044</v>
      </c>
      <c r="D73" s="8">
        <v>212</v>
      </c>
      <c r="E73" s="8">
        <v>490393</v>
      </c>
      <c r="F73" s="38">
        <f t="shared" si="1"/>
        <v>2832</v>
      </c>
      <c r="G73" s="38">
        <v>20720</v>
      </c>
      <c r="H73" s="3">
        <v>8.5343795690395261</v>
      </c>
    </row>
    <row r="74" spans="1:8" x14ac:dyDescent="0.3">
      <c r="A74" s="6" t="s">
        <v>513</v>
      </c>
      <c r="B74" s="3" t="s">
        <v>542</v>
      </c>
      <c r="C74" s="8">
        <v>2549</v>
      </c>
      <c r="D74" s="8">
        <v>128</v>
      </c>
      <c r="E74" s="8">
        <v>492814</v>
      </c>
      <c r="F74" s="38">
        <f t="shared" si="1"/>
        <v>2421</v>
      </c>
      <c r="G74" s="38">
        <v>43937</v>
      </c>
      <c r="H74" s="3">
        <v>12.734216154573531</v>
      </c>
    </row>
    <row r="75" spans="1:8" x14ac:dyDescent="0.3">
      <c r="A75" s="6" t="s">
        <v>513</v>
      </c>
      <c r="B75" s="3" t="s">
        <v>541</v>
      </c>
      <c r="C75" s="8">
        <v>7140</v>
      </c>
      <c r="D75" s="8">
        <v>939</v>
      </c>
      <c r="E75" s="8">
        <v>499015</v>
      </c>
      <c r="F75" s="38">
        <f t="shared" si="1"/>
        <v>6201</v>
      </c>
      <c r="G75" s="38">
        <v>43598</v>
      </c>
      <c r="H75" s="3">
        <v>25.120888149654821</v>
      </c>
    </row>
    <row r="76" spans="1:8" x14ac:dyDescent="0.3">
      <c r="A76" s="6" t="s">
        <v>513</v>
      </c>
      <c r="B76" s="3" t="s">
        <v>541</v>
      </c>
      <c r="C76" s="8">
        <v>4716</v>
      </c>
      <c r="D76" s="8">
        <v>569</v>
      </c>
      <c r="E76" s="8">
        <v>503162</v>
      </c>
      <c r="F76" s="38">
        <f t="shared" si="1"/>
        <v>4147</v>
      </c>
      <c r="G76" s="38">
        <v>11651</v>
      </c>
      <c r="H76" s="3">
        <v>25.64820077827817</v>
      </c>
    </row>
    <row r="77" spans="1:8" x14ac:dyDescent="0.3">
      <c r="A77" s="6" t="s">
        <v>513</v>
      </c>
      <c r="B77" s="3" t="s">
        <v>21</v>
      </c>
      <c r="C77" s="8">
        <v>5481</v>
      </c>
      <c r="D77" s="8">
        <v>673</v>
      </c>
      <c r="E77" s="8">
        <v>507970</v>
      </c>
      <c r="F77" s="38">
        <f t="shared" si="1"/>
        <v>4808</v>
      </c>
      <c r="G77" s="38">
        <v>29194</v>
      </c>
      <c r="H77" s="3">
        <v>13.08758391243577</v>
      </c>
    </row>
    <row r="78" spans="1:8" x14ac:dyDescent="0.3">
      <c r="A78" s="6" t="s">
        <v>514</v>
      </c>
      <c r="B78" s="3" t="s">
        <v>44</v>
      </c>
      <c r="C78" s="8">
        <v>8898</v>
      </c>
      <c r="D78" s="8">
        <v>1131</v>
      </c>
      <c r="E78" s="8">
        <v>515737</v>
      </c>
      <c r="F78" s="38">
        <f t="shared" si="1"/>
        <v>7767</v>
      </c>
      <c r="G78" s="38">
        <v>35051</v>
      </c>
      <c r="H78" s="3">
        <v>2.1877429775253669</v>
      </c>
    </row>
    <row r="79" spans="1:8" x14ac:dyDescent="0.3">
      <c r="A79" s="6" t="s">
        <v>514</v>
      </c>
      <c r="B79" s="3" t="s">
        <v>541</v>
      </c>
      <c r="C79" s="8">
        <v>7548</v>
      </c>
      <c r="D79" s="8">
        <v>433</v>
      </c>
      <c r="E79" s="8">
        <v>522852</v>
      </c>
      <c r="F79" s="38">
        <f t="shared" si="1"/>
        <v>7115</v>
      </c>
      <c r="G79" s="38">
        <v>37386</v>
      </c>
      <c r="H79" s="3">
        <v>8.3562843787534522</v>
      </c>
    </row>
    <row r="80" spans="1:8" x14ac:dyDescent="0.3">
      <c r="A80" s="6" t="s">
        <v>514</v>
      </c>
      <c r="B80" s="3" t="s">
        <v>44</v>
      </c>
      <c r="C80" s="8">
        <v>3293</v>
      </c>
      <c r="D80" s="8">
        <v>282</v>
      </c>
      <c r="E80" s="8">
        <v>525863</v>
      </c>
      <c r="F80" s="38">
        <f t="shared" si="1"/>
        <v>3011</v>
      </c>
      <c r="G80" s="38">
        <v>19518</v>
      </c>
      <c r="H80" s="3">
        <v>27.040693108281051</v>
      </c>
    </row>
    <row r="81" spans="1:8" x14ac:dyDescent="0.3">
      <c r="A81" s="6" t="s">
        <v>514</v>
      </c>
      <c r="B81" s="3" t="s">
        <v>44</v>
      </c>
      <c r="C81" s="8">
        <v>5837</v>
      </c>
      <c r="D81" s="8">
        <v>359</v>
      </c>
      <c r="E81" s="8">
        <v>531341</v>
      </c>
      <c r="F81" s="38">
        <f t="shared" si="1"/>
        <v>5478</v>
      </c>
      <c r="G81" s="38">
        <v>56026</v>
      </c>
      <c r="H81" s="3">
        <v>6.8073045370110723</v>
      </c>
    </row>
    <row r="82" spans="1:8" x14ac:dyDescent="0.3">
      <c r="A82" s="6" t="s">
        <v>128</v>
      </c>
      <c r="B82" s="3" t="s">
        <v>21</v>
      </c>
      <c r="C82" s="8">
        <v>8758</v>
      </c>
      <c r="D82" s="8">
        <v>1193</v>
      </c>
      <c r="E82" s="8">
        <v>538906</v>
      </c>
      <c r="F82" s="38">
        <f t="shared" si="1"/>
        <v>7565</v>
      </c>
      <c r="G82" s="38">
        <v>26184</v>
      </c>
      <c r="H82" s="3">
        <v>3.4213758985797149</v>
      </c>
    </row>
    <row r="83" spans="1:8" x14ac:dyDescent="0.3">
      <c r="A83" s="6" t="s">
        <v>128</v>
      </c>
      <c r="B83" s="3" t="s">
        <v>541</v>
      </c>
      <c r="C83" s="8">
        <v>7793</v>
      </c>
      <c r="D83" s="8">
        <v>875</v>
      </c>
      <c r="E83" s="8">
        <v>545824</v>
      </c>
      <c r="F83" s="38">
        <f t="shared" si="1"/>
        <v>6918</v>
      </c>
      <c r="G83" s="38">
        <v>43787</v>
      </c>
      <c r="H83" s="3">
        <v>5.5136820660139527</v>
      </c>
    </row>
    <row r="84" spans="1:8" x14ac:dyDescent="0.3">
      <c r="A84" s="6" t="s">
        <v>128</v>
      </c>
      <c r="B84" s="3" t="s">
        <v>21</v>
      </c>
      <c r="C84" s="8">
        <v>8638</v>
      </c>
      <c r="D84" s="8">
        <v>717</v>
      </c>
      <c r="E84" s="8">
        <v>553745</v>
      </c>
      <c r="F84" s="38">
        <f t="shared" si="1"/>
        <v>7921</v>
      </c>
      <c r="G84" s="38">
        <v>31621</v>
      </c>
      <c r="H84" s="3">
        <v>26.921416897669499</v>
      </c>
    </row>
    <row r="85" spans="1:8" x14ac:dyDescent="0.3">
      <c r="A85" s="6" t="s">
        <v>128</v>
      </c>
      <c r="B85" s="3" t="s">
        <v>21</v>
      </c>
      <c r="C85" s="8">
        <v>8993</v>
      </c>
      <c r="D85" s="8">
        <v>506</v>
      </c>
      <c r="E85" s="8">
        <v>562232</v>
      </c>
      <c r="F85" s="38">
        <f t="shared" si="1"/>
        <v>8487</v>
      </c>
      <c r="G85" s="38">
        <v>20028</v>
      </c>
      <c r="H85" s="3">
        <v>3.5131404829323132</v>
      </c>
    </row>
    <row r="86" spans="1:8" x14ac:dyDescent="0.3">
      <c r="A86" s="6" t="s">
        <v>159</v>
      </c>
      <c r="B86" s="3" t="s">
        <v>541</v>
      </c>
      <c r="C86" s="8">
        <v>7007</v>
      </c>
      <c r="D86" s="8">
        <v>568</v>
      </c>
      <c r="E86" s="8">
        <v>568671</v>
      </c>
      <c r="F86" s="38">
        <f t="shared" si="1"/>
        <v>6439</v>
      </c>
      <c r="G86" s="38">
        <v>22448</v>
      </c>
      <c r="H86" s="3">
        <v>11.50507059442103</v>
      </c>
    </row>
    <row r="87" spans="1:8" x14ac:dyDescent="0.3">
      <c r="A87" s="6" t="s">
        <v>159</v>
      </c>
      <c r="B87" s="3" t="s">
        <v>541</v>
      </c>
      <c r="C87" s="8">
        <v>6542</v>
      </c>
      <c r="D87" s="8">
        <v>539</v>
      </c>
      <c r="E87" s="8">
        <v>574674</v>
      </c>
      <c r="F87" s="38">
        <f t="shared" si="1"/>
        <v>6003</v>
      </c>
      <c r="G87" s="38">
        <v>55253</v>
      </c>
      <c r="H87" s="3">
        <v>6.4069368024305948</v>
      </c>
    </row>
    <row r="88" spans="1:8" x14ac:dyDescent="0.3">
      <c r="A88" s="6" t="s">
        <v>159</v>
      </c>
      <c r="B88" s="3" t="s">
        <v>542</v>
      </c>
      <c r="C88" s="8">
        <v>7356</v>
      </c>
      <c r="D88" s="8">
        <v>904</v>
      </c>
      <c r="E88" s="8">
        <v>581126</v>
      </c>
      <c r="F88" s="38">
        <f t="shared" si="1"/>
        <v>6452</v>
      </c>
      <c r="G88" s="38">
        <v>44051</v>
      </c>
      <c r="H88" s="3">
        <v>17.560907617280929</v>
      </c>
    </row>
    <row r="89" spans="1:8" x14ac:dyDescent="0.3">
      <c r="A89" s="6" t="s">
        <v>159</v>
      </c>
      <c r="B89" s="3" t="s">
        <v>542</v>
      </c>
      <c r="C89" s="8">
        <v>9433</v>
      </c>
      <c r="D89" s="8">
        <v>1073</v>
      </c>
      <c r="E89" s="8">
        <v>589486</v>
      </c>
      <c r="F89" s="38">
        <f t="shared" si="1"/>
        <v>8360</v>
      </c>
      <c r="G89" s="38">
        <v>59811</v>
      </c>
      <c r="H89" s="3">
        <v>7.2934726185185053</v>
      </c>
    </row>
    <row r="90" spans="1:8" x14ac:dyDescent="0.3">
      <c r="A90" s="6" t="s">
        <v>231</v>
      </c>
      <c r="B90" s="3" t="s">
        <v>44</v>
      </c>
      <c r="C90" s="8">
        <v>8380</v>
      </c>
      <c r="D90" s="8">
        <v>1162</v>
      </c>
      <c r="E90" s="8">
        <v>596704</v>
      </c>
      <c r="F90" s="38">
        <f t="shared" si="1"/>
        <v>7218</v>
      </c>
      <c r="G90" s="38">
        <v>40447</v>
      </c>
      <c r="H90" s="3">
        <v>18.05853488496809</v>
      </c>
    </row>
    <row r="91" spans="1:8" x14ac:dyDescent="0.3">
      <c r="A91" s="6" t="s">
        <v>231</v>
      </c>
      <c r="B91" s="3" t="s">
        <v>541</v>
      </c>
      <c r="C91" s="8">
        <v>3385</v>
      </c>
      <c r="D91" s="8">
        <v>329</v>
      </c>
      <c r="E91" s="8">
        <v>599760</v>
      </c>
      <c r="F91" s="38">
        <f t="shared" si="1"/>
        <v>3056</v>
      </c>
      <c r="G91" s="38">
        <v>28394</v>
      </c>
      <c r="H91" s="3">
        <v>17.61788048552755</v>
      </c>
    </row>
    <row r="92" spans="1:8" x14ac:dyDescent="0.3">
      <c r="A92" s="6" t="s">
        <v>231</v>
      </c>
      <c r="B92" s="3" t="s">
        <v>542</v>
      </c>
      <c r="C92" s="8">
        <v>5268</v>
      </c>
      <c r="D92" s="8">
        <v>326</v>
      </c>
      <c r="E92" s="8">
        <v>604702</v>
      </c>
      <c r="F92" s="38">
        <f t="shared" si="1"/>
        <v>4942</v>
      </c>
      <c r="G92" s="38">
        <v>44501</v>
      </c>
      <c r="H92" s="3">
        <v>23.435841125050029</v>
      </c>
    </row>
    <row r="93" spans="1:8" x14ac:dyDescent="0.3">
      <c r="A93" s="6" t="s">
        <v>231</v>
      </c>
      <c r="B93" s="3" t="s">
        <v>44</v>
      </c>
      <c r="C93" s="8">
        <v>1671</v>
      </c>
      <c r="D93" s="8">
        <v>202</v>
      </c>
      <c r="E93" s="8">
        <v>606171</v>
      </c>
      <c r="F93" s="38">
        <f t="shared" si="1"/>
        <v>1469</v>
      </c>
      <c r="G93" s="38">
        <v>40254</v>
      </c>
      <c r="H93" s="3">
        <v>15.150015424690389</v>
      </c>
    </row>
    <row r="94" spans="1:8" x14ac:dyDescent="0.3">
      <c r="A94" s="6" t="s">
        <v>515</v>
      </c>
      <c r="B94" s="3" t="s">
        <v>44</v>
      </c>
      <c r="C94" s="8">
        <v>1163</v>
      </c>
      <c r="D94" s="8">
        <v>146</v>
      </c>
      <c r="E94" s="8">
        <v>607188</v>
      </c>
      <c r="F94" s="38">
        <f t="shared" si="1"/>
        <v>1017</v>
      </c>
      <c r="G94" s="38">
        <v>28509</v>
      </c>
      <c r="H94" s="3">
        <v>21.77776899411715</v>
      </c>
    </row>
    <row r="95" spans="1:8" x14ac:dyDescent="0.3">
      <c r="A95" s="6" t="s">
        <v>515</v>
      </c>
      <c r="B95" s="3" t="s">
        <v>44</v>
      </c>
      <c r="C95" s="8">
        <v>9656</v>
      </c>
      <c r="D95" s="8">
        <v>1024</v>
      </c>
      <c r="E95" s="8">
        <v>615820</v>
      </c>
      <c r="F95" s="38">
        <f t="shared" si="1"/>
        <v>8632</v>
      </c>
      <c r="G95" s="38">
        <v>58998</v>
      </c>
      <c r="H95" s="3">
        <v>8.7252768666168681</v>
      </c>
    </row>
    <row r="96" spans="1:8" x14ac:dyDescent="0.3">
      <c r="A96" s="6" t="s">
        <v>515</v>
      </c>
      <c r="B96" s="3" t="s">
        <v>542</v>
      </c>
      <c r="C96" s="8">
        <v>5592</v>
      </c>
      <c r="D96" s="8">
        <v>710</v>
      </c>
      <c r="E96" s="8">
        <v>620702</v>
      </c>
      <c r="F96" s="38">
        <f t="shared" si="1"/>
        <v>4882</v>
      </c>
      <c r="G96" s="38">
        <v>24472</v>
      </c>
      <c r="H96" s="3">
        <v>9.07118069540617</v>
      </c>
    </row>
    <row r="97" spans="1:8" x14ac:dyDescent="0.3">
      <c r="A97" s="6" t="s">
        <v>515</v>
      </c>
      <c r="B97" s="3" t="s">
        <v>541</v>
      </c>
      <c r="C97" s="8">
        <v>5795</v>
      </c>
      <c r="D97" s="8">
        <v>575</v>
      </c>
      <c r="E97" s="8">
        <v>625922</v>
      </c>
      <c r="F97" s="38">
        <f t="shared" si="1"/>
        <v>5220</v>
      </c>
      <c r="G97" s="38">
        <v>55657</v>
      </c>
      <c r="H97" s="3">
        <v>3.0908004511744269</v>
      </c>
    </row>
    <row r="98" spans="1:8" x14ac:dyDescent="0.3">
      <c r="A98" s="6" t="s">
        <v>52</v>
      </c>
      <c r="B98" s="3" t="s">
        <v>21</v>
      </c>
      <c r="C98" s="8">
        <v>5798</v>
      </c>
      <c r="D98" s="8">
        <v>592</v>
      </c>
      <c r="E98" s="8">
        <v>631128</v>
      </c>
      <c r="F98" s="38">
        <f t="shared" si="1"/>
        <v>5206</v>
      </c>
      <c r="G98" s="38">
        <v>13471</v>
      </c>
      <c r="H98" s="3">
        <v>1.6774727155188811</v>
      </c>
    </row>
    <row r="99" spans="1:8" x14ac:dyDescent="0.3">
      <c r="A99" s="6" t="s">
        <v>52</v>
      </c>
      <c r="B99" s="3" t="s">
        <v>44</v>
      </c>
      <c r="C99" s="8">
        <v>7036</v>
      </c>
      <c r="D99" s="8">
        <v>652</v>
      </c>
      <c r="E99" s="8">
        <v>637512</v>
      </c>
      <c r="F99" s="38">
        <f t="shared" si="1"/>
        <v>6384</v>
      </c>
      <c r="G99" s="38">
        <v>51796</v>
      </c>
      <c r="H99" s="3">
        <v>3.5705994553828009</v>
      </c>
    </row>
    <row r="100" spans="1:8" x14ac:dyDescent="0.3">
      <c r="A100" s="6" t="s">
        <v>52</v>
      </c>
      <c r="B100" s="3" t="s">
        <v>542</v>
      </c>
      <c r="C100" s="8">
        <v>3355</v>
      </c>
      <c r="D100" s="8">
        <v>176</v>
      </c>
      <c r="E100" s="8">
        <v>640691</v>
      </c>
      <c r="F100" s="38">
        <f t="shared" si="1"/>
        <v>3179</v>
      </c>
      <c r="G100" s="38">
        <v>40268</v>
      </c>
      <c r="H100" s="3">
        <v>12.426427091999111</v>
      </c>
    </row>
    <row r="101" spans="1:8" x14ac:dyDescent="0.3">
      <c r="A101" s="6" t="s">
        <v>52</v>
      </c>
      <c r="B101" s="3" t="s">
        <v>542</v>
      </c>
      <c r="C101" s="8">
        <v>6887</v>
      </c>
      <c r="D101" s="8">
        <v>418</v>
      </c>
      <c r="E101" s="8">
        <v>647160</v>
      </c>
      <c r="F101" s="38">
        <f t="shared" si="1"/>
        <v>6469</v>
      </c>
      <c r="G101" s="38">
        <v>18329</v>
      </c>
      <c r="H101" s="3">
        <v>20.240280610668151</v>
      </c>
    </row>
    <row r="102" spans="1:8" x14ac:dyDescent="0.3">
      <c r="A102" s="6" t="s">
        <v>450</v>
      </c>
      <c r="B102" s="3" t="s">
        <v>21</v>
      </c>
      <c r="C102" s="8">
        <v>8961</v>
      </c>
      <c r="D102" s="8">
        <v>476</v>
      </c>
      <c r="E102" s="8">
        <v>655645</v>
      </c>
      <c r="F102" s="38">
        <f t="shared" si="1"/>
        <v>8485</v>
      </c>
      <c r="G102" s="38">
        <v>44865</v>
      </c>
      <c r="H102" s="3">
        <v>15.458517947974901</v>
      </c>
    </row>
    <row r="103" spans="1:8" x14ac:dyDescent="0.3">
      <c r="A103" s="6" t="s">
        <v>450</v>
      </c>
      <c r="B103" s="3" t="s">
        <v>21</v>
      </c>
      <c r="C103" s="8">
        <v>6827</v>
      </c>
      <c r="D103" s="8">
        <v>775</v>
      </c>
      <c r="E103" s="8">
        <v>661697</v>
      </c>
      <c r="F103" s="38">
        <f t="shared" si="1"/>
        <v>6052</v>
      </c>
      <c r="G103" s="38">
        <v>56850</v>
      </c>
      <c r="H103" s="3">
        <v>15.96622018839439</v>
      </c>
    </row>
    <row r="104" spans="1:8" x14ac:dyDescent="0.3">
      <c r="A104" s="6" t="s">
        <v>450</v>
      </c>
      <c r="B104" s="3" t="s">
        <v>542</v>
      </c>
      <c r="C104" s="8">
        <v>9737</v>
      </c>
      <c r="D104" s="8">
        <v>792</v>
      </c>
      <c r="E104" s="8">
        <v>670642</v>
      </c>
      <c r="F104" s="38">
        <f t="shared" si="1"/>
        <v>8945</v>
      </c>
      <c r="G104" s="38">
        <v>56698</v>
      </c>
      <c r="H104" s="3">
        <v>5.301785453341723</v>
      </c>
    </row>
    <row r="105" spans="1:8" x14ac:dyDescent="0.3">
      <c r="A105" s="6" t="s">
        <v>450</v>
      </c>
      <c r="B105" s="3" t="s">
        <v>541</v>
      </c>
      <c r="C105" s="8">
        <v>5719</v>
      </c>
      <c r="D105" s="8">
        <v>576</v>
      </c>
      <c r="E105" s="8">
        <v>675785</v>
      </c>
      <c r="F105" s="38">
        <f t="shared" si="1"/>
        <v>5143</v>
      </c>
      <c r="G105" s="38">
        <v>38272</v>
      </c>
      <c r="H105" s="3">
        <v>10.21656296011305</v>
      </c>
    </row>
    <row r="106" spans="1:8" x14ac:dyDescent="0.3">
      <c r="A106" s="6" t="s">
        <v>516</v>
      </c>
      <c r="B106" s="3" t="s">
        <v>21</v>
      </c>
      <c r="C106" s="8">
        <v>1593</v>
      </c>
      <c r="D106" s="8">
        <v>224</v>
      </c>
      <c r="E106" s="8">
        <v>677154</v>
      </c>
      <c r="F106" s="38">
        <f t="shared" si="1"/>
        <v>1369</v>
      </c>
      <c r="G106" s="38">
        <v>52845</v>
      </c>
      <c r="H106" s="3">
        <v>4.1495730660972248</v>
      </c>
    </row>
    <row r="107" spans="1:8" x14ac:dyDescent="0.3">
      <c r="A107" s="6" t="s">
        <v>516</v>
      </c>
      <c r="B107" s="3" t="s">
        <v>542</v>
      </c>
      <c r="C107" s="8">
        <v>5839</v>
      </c>
      <c r="D107" s="8">
        <v>437</v>
      </c>
      <c r="E107" s="8">
        <v>682556</v>
      </c>
      <c r="F107" s="38">
        <f t="shared" si="1"/>
        <v>5402</v>
      </c>
      <c r="G107" s="38">
        <v>16397</v>
      </c>
      <c r="H107" s="3">
        <v>17.44750613869045</v>
      </c>
    </row>
    <row r="108" spans="1:8" x14ac:dyDescent="0.3">
      <c r="A108" s="6" t="s">
        <v>516</v>
      </c>
      <c r="B108" s="3" t="s">
        <v>21</v>
      </c>
      <c r="C108" s="8">
        <v>8394</v>
      </c>
      <c r="D108" s="8">
        <v>764</v>
      </c>
      <c r="E108" s="8">
        <v>690186</v>
      </c>
      <c r="F108" s="38">
        <f t="shared" si="1"/>
        <v>7630</v>
      </c>
      <c r="G108" s="38">
        <v>42373</v>
      </c>
      <c r="H108" s="3">
        <v>6.3556780346167558</v>
      </c>
    </row>
    <row r="109" spans="1:8" x14ac:dyDescent="0.3">
      <c r="A109" s="6" t="s">
        <v>516</v>
      </c>
      <c r="B109" s="3" t="s">
        <v>541</v>
      </c>
      <c r="C109" s="8">
        <v>4493</v>
      </c>
      <c r="D109" s="8">
        <v>564</v>
      </c>
      <c r="E109" s="8">
        <v>694115</v>
      </c>
      <c r="F109" s="38">
        <f t="shared" si="1"/>
        <v>3929</v>
      </c>
      <c r="G109" s="38">
        <v>45525</v>
      </c>
      <c r="H109" s="3">
        <v>16.625487131094989</v>
      </c>
    </row>
    <row r="110" spans="1:8" x14ac:dyDescent="0.3">
      <c r="A110" s="6" t="s">
        <v>176</v>
      </c>
      <c r="B110" s="3" t="s">
        <v>44</v>
      </c>
      <c r="C110" s="8">
        <v>7164</v>
      </c>
      <c r="D110" s="8">
        <v>522</v>
      </c>
      <c r="E110" s="8">
        <v>700757</v>
      </c>
      <c r="F110" s="38">
        <f t="shared" si="1"/>
        <v>6642</v>
      </c>
      <c r="G110" s="38">
        <v>34570</v>
      </c>
      <c r="H110" s="3">
        <v>13.449169969047761</v>
      </c>
    </row>
    <row r="111" spans="1:8" x14ac:dyDescent="0.3">
      <c r="A111" s="6" t="s">
        <v>176</v>
      </c>
      <c r="B111" s="3" t="s">
        <v>21</v>
      </c>
      <c r="C111" s="8">
        <v>3672</v>
      </c>
      <c r="D111" s="8">
        <v>211</v>
      </c>
      <c r="E111" s="8">
        <v>704218</v>
      </c>
      <c r="F111" s="38">
        <f t="shared" si="1"/>
        <v>3461</v>
      </c>
      <c r="G111" s="38">
        <v>28284</v>
      </c>
      <c r="H111" s="3">
        <v>12.35057894004413</v>
      </c>
    </row>
    <row r="112" spans="1:8" x14ac:dyDescent="0.3">
      <c r="A112" s="6" t="s">
        <v>176</v>
      </c>
      <c r="B112" s="3" t="s">
        <v>541</v>
      </c>
      <c r="C112" s="8">
        <v>5200</v>
      </c>
      <c r="D112" s="8">
        <v>410</v>
      </c>
      <c r="E112" s="8">
        <v>709008</v>
      </c>
      <c r="F112" s="38">
        <f t="shared" si="1"/>
        <v>4790</v>
      </c>
      <c r="G112" s="38">
        <v>28994</v>
      </c>
      <c r="H112" s="3">
        <v>12.913394489201821</v>
      </c>
    </row>
    <row r="113" spans="1:8" x14ac:dyDescent="0.3">
      <c r="A113" s="6" t="s">
        <v>176</v>
      </c>
      <c r="B113" s="3" t="s">
        <v>542</v>
      </c>
      <c r="C113" s="8">
        <v>1016</v>
      </c>
      <c r="D113" s="8">
        <v>67</v>
      </c>
      <c r="E113" s="8">
        <v>709957</v>
      </c>
      <c r="F113" s="38">
        <f t="shared" si="1"/>
        <v>949</v>
      </c>
      <c r="G113" s="38">
        <v>33284</v>
      </c>
      <c r="H113" s="3">
        <v>20.774215903216671</v>
      </c>
    </row>
    <row r="114" spans="1:8" x14ac:dyDescent="0.3">
      <c r="A114" s="6" t="s">
        <v>87</v>
      </c>
      <c r="B114" s="3" t="s">
        <v>21</v>
      </c>
      <c r="C114" s="8">
        <v>4191</v>
      </c>
      <c r="D114" s="8">
        <v>599</v>
      </c>
      <c r="E114" s="8">
        <v>713549</v>
      </c>
      <c r="F114" s="38">
        <f t="shared" si="1"/>
        <v>3592</v>
      </c>
      <c r="G114" s="38">
        <v>27833</v>
      </c>
      <c r="H114" s="3">
        <v>11.56416728213479</v>
      </c>
    </row>
    <row r="115" spans="1:8" x14ac:dyDescent="0.3">
      <c r="A115" s="6" t="s">
        <v>87</v>
      </c>
      <c r="B115" s="3" t="s">
        <v>21</v>
      </c>
      <c r="C115" s="8">
        <v>1392</v>
      </c>
      <c r="D115" s="8">
        <v>182</v>
      </c>
      <c r="E115" s="8">
        <v>714759</v>
      </c>
      <c r="F115" s="38">
        <f t="shared" si="1"/>
        <v>1210</v>
      </c>
      <c r="G115" s="38">
        <v>35122</v>
      </c>
      <c r="H115" s="3">
        <v>5.9603306848881932</v>
      </c>
    </row>
    <row r="116" spans="1:8" x14ac:dyDescent="0.3">
      <c r="A116" s="6" t="s">
        <v>87</v>
      </c>
      <c r="B116" s="3" t="s">
        <v>542</v>
      </c>
      <c r="C116" s="8">
        <v>9616</v>
      </c>
      <c r="D116" s="8">
        <v>1089</v>
      </c>
      <c r="E116" s="8">
        <v>723286</v>
      </c>
      <c r="F116" s="38">
        <f t="shared" si="1"/>
        <v>8527</v>
      </c>
      <c r="G116" s="38">
        <v>15017</v>
      </c>
      <c r="H116" s="3">
        <v>19.25863351426683</v>
      </c>
    </row>
    <row r="117" spans="1:8" x14ac:dyDescent="0.3">
      <c r="A117" s="6" t="s">
        <v>87</v>
      </c>
      <c r="B117" s="3" t="s">
        <v>44</v>
      </c>
      <c r="C117" s="8">
        <v>7272</v>
      </c>
      <c r="D117" s="8">
        <v>997</v>
      </c>
      <c r="E117" s="8">
        <v>729561</v>
      </c>
      <c r="F117" s="38">
        <f t="shared" si="1"/>
        <v>6275</v>
      </c>
      <c r="G117" s="38">
        <v>26370</v>
      </c>
      <c r="H117" s="3">
        <v>13.428486445958599</v>
      </c>
    </row>
    <row r="118" spans="1:8" x14ac:dyDescent="0.3">
      <c r="A118" s="6" t="s">
        <v>13</v>
      </c>
      <c r="B118" s="3" t="s">
        <v>542</v>
      </c>
      <c r="C118" s="8">
        <v>1571</v>
      </c>
      <c r="D118" s="8">
        <v>204</v>
      </c>
      <c r="E118" s="8">
        <v>730928</v>
      </c>
      <c r="F118" s="38">
        <f t="shared" si="1"/>
        <v>1367</v>
      </c>
      <c r="G118" s="38">
        <v>39252</v>
      </c>
      <c r="H118" s="3">
        <v>19.449384891535139</v>
      </c>
    </row>
    <row r="119" spans="1:8" x14ac:dyDescent="0.3">
      <c r="A119" s="6" t="s">
        <v>13</v>
      </c>
      <c r="B119" s="3" t="s">
        <v>21</v>
      </c>
      <c r="C119" s="8">
        <v>4631</v>
      </c>
      <c r="D119" s="8">
        <v>317</v>
      </c>
      <c r="E119" s="8">
        <v>735242</v>
      </c>
      <c r="F119" s="38">
        <f t="shared" si="1"/>
        <v>4314</v>
      </c>
      <c r="G119" s="38">
        <v>17999</v>
      </c>
      <c r="H119" s="3">
        <v>1.381177897889402</v>
      </c>
    </row>
    <row r="120" spans="1:8" x14ac:dyDescent="0.3">
      <c r="A120" s="6" t="s">
        <v>13</v>
      </c>
      <c r="B120" s="3" t="s">
        <v>542</v>
      </c>
      <c r="C120" s="8">
        <v>7172</v>
      </c>
      <c r="D120" s="8">
        <v>998</v>
      </c>
      <c r="E120" s="8">
        <v>741416</v>
      </c>
      <c r="F120" s="38">
        <f t="shared" si="1"/>
        <v>6174</v>
      </c>
      <c r="G120" s="38">
        <v>32436</v>
      </c>
      <c r="H120" s="3">
        <v>18.0667803230575</v>
      </c>
    </row>
    <row r="121" spans="1:8" x14ac:dyDescent="0.3">
      <c r="A121" s="6" t="s">
        <v>13</v>
      </c>
      <c r="B121" s="3" t="s">
        <v>541</v>
      </c>
      <c r="C121" s="8">
        <v>8177</v>
      </c>
      <c r="D121" s="8">
        <v>849</v>
      </c>
      <c r="E121" s="8">
        <v>748744</v>
      </c>
      <c r="F121" s="38">
        <f t="shared" si="1"/>
        <v>7328</v>
      </c>
      <c r="G121" s="38">
        <v>52963</v>
      </c>
      <c r="H121" s="3">
        <v>10.34986590877523</v>
      </c>
    </row>
    <row r="122" spans="1:8" x14ac:dyDescent="0.3">
      <c r="A122" s="6" t="s">
        <v>517</v>
      </c>
      <c r="B122" s="3" t="s">
        <v>542</v>
      </c>
      <c r="C122" s="8">
        <v>9433</v>
      </c>
      <c r="D122" s="8">
        <v>1233</v>
      </c>
      <c r="E122" s="8">
        <v>756944</v>
      </c>
      <c r="F122" s="38">
        <f t="shared" si="1"/>
        <v>8200</v>
      </c>
      <c r="G122" s="38">
        <v>12096</v>
      </c>
      <c r="H122" s="3">
        <v>11.391727789638329</v>
      </c>
    </row>
    <row r="123" spans="1:8" x14ac:dyDescent="0.3">
      <c r="A123" s="6" t="s">
        <v>517</v>
      </c>
      <c r="B123" s="3" t="s">
        <v>21</v>
      </c>
      <c r="C123" s="8">
        <v>4897</v>
      </c>
      <c r="D123" s="8">
        <v>683</v>
      </c>
      <c r="E123" s="8">
        <v>761158</v>
      </c>
      <c r="F123" s="38">
        <f t="shared" si="1"/>
        <v>4214</v>
      </c>
      <c r="G123" s="38">
        <v>58201</v>
      </c>
      <c r="H123" s="3">
        <v>15.06231294947961</v>
      </c>
    </row>
    <row r="124" spans="1:8" x14ac:dyDescent="0.3">
      <c r="A124" s="6" t="s">
        <v>517</v>
      </c>
      <c r="B124" s="3" t="s">
        <v>542</v>
      </c>
      <c r="C124" s="8">
        <v>9123</v>
      </c>
      <c r="D124" s="8">
        <v>746</v>
      </c>
      <c r="E124" s="8">
        <v>769535</v>
      </c>
      <c r="F124" s="38">
        <f t="shared" si="1"/>
        <v>8377</v>
      </c>
      <c r="G124" s="38">
        <v>35279</v>
      </c>
      <c r="H124" s="3">
        <v>6.3086149427901264</v>
      </c>
    </row>
    <row r="125" spans="1:8" x14ac:dyDescent="0.3">
      <c r="A125" s="6" t="s">
        <v>517</v>
      </c>
      <c r="B125" s="3" t="s">
        <v>44</v>
      </c>
      <c r="C125" s="8">
        <v>3279</v>
      </c>
      <c r="D125" s="8">
        <v>200</v>
      </c>
      <c r="E125" s="8">
        <v>772614</v>
      </c>
      <c r="F125" s="38">
        <f t="shared" si="1"/>
        <v>3079</v>
      </c>
      <c r="G125" s="38">
        <v>53363</v>
      </c>
      <c r="H125" s="3">
        <v>5.0212654702089274</v>
      </c>
    </row>
    <row r="126" spans="1:8" x14ac:dyDescent="0.3">
      <c r="A126" s="6" t="s">
        <v>97</v>
      </c>
      <c r="B126" s="3" t="s">
        <v>542</v>
      </c>
      <c r="C126" s="8">
        <v>9980</v>
      </c>
      <c r="D126" s="8">
        <v>726</v>
      </c>
      <c r="E126" s="8">
        <v>781868</v>
      </c>
      <c r="F126" s="38">
        <f t="shared" si="1"/>
        <v>9254</v>
      </c>
      <c r="G126" s="38">
        <v>58709</v>
      </c>
      <c r="H126" s="3">
        <v>4.0220344099003924</v>
      </c>
    </row>
    <row r="127" spans="1:8" x14ac:dyDescent="0.3">
      <c r="A127" s="6" t="s">
        <v>97</v>
      </c>
      <c r="B127" s="3" t="s">
        <v>44</v>
      </c>
      <c r="C127" s="8">
        <v>8451</v>
      </c>
      <c r="D127" s="8">
        <v>783</v>
      </c>
      <c r="E127" s="8">
        <v>789536</v>
      </c>
      <c r="F127" s="38">
        <f t="shared" si="1"/>
        <v>7668</v>
      </c>
      <c r="G127" s="38">
        <v>36201</v>
      </c>
      <c r="H127" s="3">
        <v>12.407287318121019</v>
      </c>
    </row>
    <row r="128" spans="1:8" x14ac:dyDescent="0.3">
      <c r="A128" s="6" t="s">
        <v>97</v>
      </c>
      <c r="B128" s="3" t="s">
        <v>541</v>
      </c>
      <c r="C128" s="8">
        <v>9906</v>
      </c>
      <c r="D128" s="8">
        <v>1305</v>
      </c>
      <c r="E128" s="8">
        <v>798137</v>
      </c>
      <c r="F128" s="38">
        <f t="shared" si="1"/>
        <v>8601</v>
      </c>
      <c r="G128" s="38">
        <v>29715</v>
      </c>
      <c r="H128" s="3">
        <v>9.1811305577864442</v>
      </c>
    </row>
    <row r="129" spans="1:8" x14ac:dyDescent="0.3">
      <c r="A129" s="6" t="s">
        <v>97</v>
      </c>
      <c r="B129" s="3" t="s">
        <v>44</v>
      </c>
      <c r="C129" s="8">
        <v>1775</v>
      </c>
      <c r="D129" s="8">
        <v>241</v>
      </c>
      <c r="E129" s="8">
        <v>799671</v>
      </c>
      <c r="F129" s="38">
        <f t="shared" si="1"/>
        <v>1534</v>
      </c>
      <c r="G129" s="38">
        <v>39309</v>
      </c>
      <c r="H129" s="3">
        <v>8.1379717408784362</v>
      </c>
    </row>
    <row r="130" spans="1:8" x14ac:dyDescent="0.3">
      <c r="A130" s="6" t="s">
        <v>518</v>
      </c>
      <c r="B130" s="3" t="s">
        <v>542</v>
      </c>
      <c r="C130" s="8">
        <v>7869</v>
      </c>
      <c r="D130" s="8">
        <v>398</v>
      </c>
      <c r="E130" s="8">
        <v>807142</v>
      </c>
      <c r="F130" s="38">
        <f t="shared" si="1"/>
        <v>7471</v>
      </c>
      <c r="G130" s="38">
        <v>25078</v>
      </c>
      <c r="H130" s="3">
        <v>15.211945357818079</v>
      </c>
    </row>
    <row r="131" spans="1:8" x14ac:dyDescent="0.3">
      <c r="A131" s="6" t="s">
        <v>518</v>
      </c>
      <c r="B131" s="3" t="s">
        <v>21</v>
      </c>
      <c r="C131" s="8">
        <v>3247</v>
      </c>
      <c r="D131" s="8">
        <v>328</v>
      </c>
      <c r="E131" s="8">
        <v>810061</v>
      </c>
      <c r="F131" s="38">
        <f t="shared" ref="F131:F194" si="2">C131-D131</f>
        <v>2919</v>
      </c>
      <c r="G131" s="38">
        <v>15105</v>
      </c>
      <c r="H131" s="3">
        <v>13.941172331466399</v>
      </c>
    </row>
    <row r="132" spans="1:8" x14ac:dyDescent="0.3">
      <c r="A132" s="6" t="s">
        <v>518</v>
      </c>
      <c r="B132" s="3" t="s">
        <v>44</v>
      </c>
      <c r="C132" s="8">
        <v>8088</v>
      </c>
      <c r="D132" s="8">
        <v>742</v>
      </c>
      <c r="E132" s="8">
        <v>817407</v>
      </c>
      <c r="F132" s="38">
        <f t="shared" si="2"/>
        <v>7346</v>
      </c>
      <c r="G132" s="38">
        <v>39312</v>
      </c>
      <c r="H132" s="3">
        <v>14.664542877660701</v>
      </c>
    </row>
    <row r="133" spans="1:8" x14ac:dyDescent="0.3">
      <c r="A133" s="6" t="s">
        <v>518</v>
      </c>
      <c r="B133" s="3" t="s">
        <v>541</v>
      </c>
      <c r="C133" s="8">
        <v>1078</v>
      </c>
      <c r="D133" s="8">
        <v>77</v>
      </c>
      <c r="E133" s="8">
        <v>818408</v>
      </c>
      <c r="F133" s="38">
        <f t="shared" si="2"/>
        <v>1001</v>
      </c>
      <c r="G133" s="38">
        <v>12839</v>
      </c>
      <c r="H133" s="3">
        <v>18.236747441373989</v>
      </c>
    </row>
    <row r="134" spans="1:8" x14ac:dyDescent="0.3">
      <c r="A134" s="6" t="s">
        <v>519</v>
      </c>
      <c r="B134" s="3" t="s">
        <v>44</v>
      </c>
      <c r="C134" s="8">
        <v>9080</v>
      </c>
      <c r="D134" s="8">
        <v>562</v>
      </c>
      <c r="E134" s="8">
        <v>826926</v>
      </c>
      <c r="F134" s="38">
        <f t="shared" si="2"/>
        <v>8518</v>
      </c>
      <c r="G134" s="38">
        <v>13384</v>
      </c>
      <c r="H134" s="3">
        <v>7.1083748727213809</v>
      </c>
    </row>
    <row r="135" spans="1:8" x14ac:dyDescent="0.3">
      <c r="A135" s="6" t="s">
        <v>519</v>
      </c>
      <c r="B135" s="3" t="s">
        <v>44</v>
      </c>
      <c r="C135" s="8">
        <v>8099</v>
      </c>
      <c r="D135" s="8">
        <v>678</v>
      </c>
      <c r="E135" s="8">
        <v>834347</v>
      </c>
      <c r="F135" s="38">
        <f t="shared" si="2"/>
        <v>7421</v>
      </c>
      <c r="G135" s="38">
        <v>53619</v>
      </c>
      <c r="H135" s="3">
        <v>7.6464588474579518</v>
      </c>
    </row>
    <row r="136" spans="1:8" x14ac:dyDescent="0.3">
      <c r="A136" s="6" t="s">
        <v>519</v>
      </c>
      <c r="B136" s="3" t="s">
        <v>44</v>
      </c>
      <c r="C136" s="8">
        <v>4926</v>
      </c>
      <c r="D136" s="8">
        <v>710</v>
      </c>
      <c r="E136" s="8">
        <v>838563</v>
      </c>
      <c r="F136" s="38">
        <f t="shared" si="2"/>
        <v>4216</v>
      </c>
      <c r="G136" s="38">
        <v>52821</v>
      </c>
      <c r="H136" s="3">
        <v>12.96217457722318</v>
      </c>
    </row>
    <row r="137" spans="1:8" x14ac:dyDescent="0.3">
      <c r="A137" s="6" t="s">
        <v>519</v>
      </c>
      <c r="B137" s="3" t="s">
        <v>541</v>
      </c>
      <c r="C137" s="8">
        <v>8340</v>
      </c>
      <c r="D137" s="8">
        <v>686</v>
      </c>
      <c r="E137" s="8">
        <v>846217</v>
      </c>
      <c r="F137" s="38">
        <f t="shared" si="2"/>
        <v>7654</v>
      </c>
      <c r="G137" s="38">
        <v>23493</v>
      </c>
      <c r="H137" s="3">
        <v>7.201344336027284</v>
      </c>
    </row>
    <row r="138" spans="1:8" x14ac:dyDescent="0.3">
      <c r="A138" s="6" t="s">
        <v>179</v>
      </c>
      <c r="B138" s="3" t="s">
        <v>542</v>
      </c>
      <c r="C138" s="8">
        <v>8083</v>
      </c>
      <c r="D138" s="8">
        <v>823</v>
      </c>
      <c r="E138" s="8">
        <v>853477</v>
      </c>
      <c r="F138" s="38">
        <f t="shared" si="2"/>
        <v>7260</v>
      </c>
      <c r="G138" s="38">
        <v>27069</v>
      </c>
      <c r="H138" s="3">
        <v>4.6300017457998282</v>
      </c>
    </row>
    <row r="139" spans="1:8" x14ac:dyDescent="0.3">
      <c r="A139" s="6" t="s">
        <v>179</v>
      </c>
      <c r="B139" s="3" t="s">
        <v>44</v>
      </c>
      <c r="C139" s="8">
        <v>7230</v>
      </c>
      <c r="D139" s="8">
        <v>869</v>
      </c>
      <c r="E139" s="8">
        <v>859838</v>
      </c>
      <c r="F139" s="38">
        <f t="shared" si="2"/>
        <v>6361</v>
      </c>
      <c r="G139" s="38">
        <v>56907</v>
      </c>
      <c r="H139" s="3">
        <v>7.0117859410726204</v>
      </c>
    </row>
    <row r="140" spans="1:8" x14ac:dyDescent="0.3">
      <c r="A140" s="6" t="s">
        <v>179</v>
      </c>
      <c r="B140" s="3" t="s">
        <v>44</v>
      </c>
      <c r="C140" s="8">
        <v>5940</v>
      </c>
      <c r="D140" s="8">
        <v>512</v>
      </c>
      <c r="E140" s="8">
        <v>865266</v>
      </c>
      <c r="F140" s="38">
        <f t="shared" si="2"/>
        <v>5428</v>
      </c>
      <c r="G140" s="38">
        <v>17531</v>
      </c>
      <c r="H140" s="3">
        <v>15.7972230504839</v>
      </c>
    </row>
    <row r="141" spans="1:8" x14ac:dyDescent="0.3">
      <c r="A141" s="6" t="s">
        <v>179</v>
      </c>
      <c r="B141" s="3" t="s">
        <v>21</v>
      </c>
      <c r="C141" s="8">
        <v>4271</v>
      </c>
      <c r="D141" s="8">
        <v>628</v>
      </c>
      <c r="E141" s="8">
        <v>868909</v>
      </c>
      <c r="F141" s="38">
        <f t="shared" si="2"/>
        <v>3643</v>
      </c>
      <c r="G141" s="38">
        <v>47051</v>
      </c>
      <c r="H141" s="3">
        <v>11.124410036033691</v>
      </c>
    </row>
    <row r="142" spans="1:8" x14ac:dyDescent="0.3">
      <c r="A142" s="6" t="s">
        <v>520</v>
      </c>
      <c r="B142" s="3" t="s">
        <v>541</v>
      </c>
      <c r="C142" s="8">
        <v>4456</v>
      </c>
      <c r="D142" s="8">
        <v>651</v>
      </c>
      <c r="E142" s="8">
        <v>872714</v>
      </c>
      <c r="F142" s="38">
        <f t="shared" si="2"/>
        <v>3805</v>
      </c>
      <c r="G142" s="38">
        <v>17736</v>
      </c>
      <c r="H142" s="3">
        <v>9.5052903929580594</v>
      </c>
    </row>
    <row r="143" spans="1:8" x14ac:dyDescent="0.3">
      <c r="A143" s="6" t="s">
        <v>520</v>
      </c>
      <c r="B143" s="3" t="s">
        <v>44</v>
      </c>
      <c r="C143" s="8">
        <v>8788</v>
      </c>
      <c r="D143" s="8">
        <v>660</v>
      </c>
      <c r="E143" s="8">
        <v>880842</v>
      </c>
      <c r="F143" s="38">
        <f t="shared" si="2"/>
        <v>8128</v>
      </c>
      <c r="G143" s="38">
        <v>17710</v>
      </c>
      <c r="H143" s="3">
        <v>3.7175793161543158</v>
      </c>
    </row>
    <row r="144" spans="1:8" x14ac:dyDescent="0.3">
      <c r="A144" s="6" t="s">
        <v>520</v>
      </c>
      <c r="B144" s="3" t="s">
        <v>541</v>
      </c>
      <c r="C144" s="8">
        <v>9599</v>
      </c>
      <c r="D144" s="8">
        <v>957</v>
      </c>
      <c r="E144" s="8">
        <v>889484</v>
      </c>
      <c r="F144" s="38">
        <f t="shared" si="2"/>
        <v>8642</v>
      </c>
      <c r="G144" s="38">
        <v>11619</v>
      </c>
      <c r="H144" s="3">
        <v>8.768004820772493</v>
      </c>
    </row>
    <row r="145" spans="1:8" x14ac:dyDescent="0.3">
      <c r="A145" s="6" t="s">
        <v>520</v>
      </c>
      <c r="B145" s="3" t="s">
        <v>44</v>
      </c>
      <c r="C145" s="8">
        <v>8650</v>
      </c>
      <c r="D145" s="8">
        <v>692</v>
      </c>
      <c r="E145" s="8">
        <v>897442</v>
      </c>
      <c r="F145" s="38">
        <f t="shared" si="2"/>
        <v>7958</v>
      </c>
      <c r="G145" s="38">
        <v>23975</v>
      </c>
      <c r="H145" s="3">
        <v>7.6673478620345374</v>
      </c>
    </row>
    <row r="146" spans="1:8" x14ac:dyDescent="0.3">
      <c r="A146" s="6" t="s">
        <v>437</v>
      </c>
      <c r="B146" s="3" t="s">
        <v>542</v>
      </c>
      <c r="C146" s="8">
        <v>3711</v>
      </c>
      <c r="D146" s="8">
        <v>291</v>
      </c>
      <c r="E146" s="8">
        <v>900862</v>
      </c>
      <c r="F146" s="38">
        <f t="shared" si="2"/>
        <v>3420</v>
      </c>
      <c r="G146" s="38">
        <v>55603</v>
      </c>
      <c r="H146" s="3">
        <v>14.24879726306582</v>
      </c>
    </row>
    <row r="147" spans="1:8" x14ac:dyDescent="0.3">
      <c r="A147" s="6" t="s">
        <v>437</v>
      </c>
      <c r="B147" s="3" t="s">
        <v>542</v>
      </c>
      <c r="C147" s="8">
        <v>2668</v>
      </c>
      <c r="D147" s="8">
        <v>143</v>
      </c>
      <c r="E147" s="8">
        <v>903387</v>
      </c>
      <c r="F147" s="38">
        <f t="shared" si="2"/>
        <v>2525</v>
      </c>
      <c r="G147" s="38">
        <v>33252</v>
      </c>
      <c r="H147" s="3">
        <v>15.903372530266649</v>
      </c>
    </row>
    <row r="148" spans="1:8" x14ac:dyDescent="0.3">
      <c r="A148" s="6" t="s">
        <v>437</v>
      </c>
      <c r="B148" s="3" t="s">
        <v>44</v>
      </c>
      <c r="C148" s="8">
        <v>1147</v>
      </c>
      <c r="D148" s="8">
        <v>127</v>
      </c>
      <c r="E148" s="8">
        <v>904407</v>
      </c>
      <c r="F148" s="38">
        <f t="shared" si="2"/>
        <v>1020</v>
      </c>
      <c r="G148" s="38">
        <v>25261</v>
      </c>
      <c r="H148" s="3">
        <v>1.3997016829812241</v>
      </c>
    </row>
    <row r="149" spans="1:8" x14ac:dyDescent="0.3">
      <c r="A149" s="6" t="s">
        <v>437</v>
      </c>
      <c r="B149" s="3" t="s">
        <v>542</v>
      </c>
      <c r="C149" s="8">
        <v>7420</v>
      </c>
      <c r="D149" s="8">
        <v>743</v>
      </c>
      <c r="E149" s="8">
        <v>911084</v>
      </c>
      <c r="F149" s="38">
        <f t="shared" si="2"/>
        <v>6677</v>
      </c>
      <c r="G149" s="38">
        <v>11431</v>
      </c>
      <c r="H149" s="3">
        <v>10.593534734448189</v>
      </c>
    </row>
    <row r="150" spans="1:8" x14ac:dyDescent="0.3">
      <c r="A150" s="6" t="s">
        <v>99</v>
      </c>
      <c r="B150" s="3" t="s">
        <v>44</v>
      </c>
      <c r="C150" s="8">
        <v>1365</v>
      </c>
      <c r="D150" s="8">
        <v>75</v>
      </c>
      <c r="E150" s="8">
        <v>912374</v>
      </c>
      <c r="F150" s="38">
        <f t="shared" si="2"/>
        <v>1290</v>
      </c>
      <c r="G150" s="38">
        <v>19067</v>
      </c>
      <c r="H150" s="3">
        <v>9.2688963078737441</v>
      </c>
    </row>
    <row r="151" spans="1:8" x14ac:dyDescent="0.3">
      <c r="A151" s="6" t="s">
        <v>99</v>
      </c>
      <c r="B151" s="3" t="s">
        <v>542</v>
      </c>
      <c r="C151" s="8">
        <v>5531</v>
      </c>
      <c r="D151" s="8">
        <v>430</v>
      </c>
      <c r="E151" s="8">
        <v>917475</v>
      </c>
      <c r="F151" s="38">
        <f t="shared" si="2"/>
        <v>5101</v>
      </c>
      <c r="G151" s="38">
        <v>47481</v>
      </c>
      <c r="H151" s="3">
        <v>2.7289026948963189</v>
      </c>
    </row>
    <row r="152" spans="1:8" x14ac:dyDescent="0.3">
      <c r="A152" s="6" t="s">
        <v>99</v>
      </c>
      <c r="B152" s="3" t="s">
        <v>21</v>
      </c>
      <c r="C152" s="8">
        <v>6330</v>
      </c>
      <c r="D152" s="8">
        <v>891</v>
      </c>
      <c r="E152" s="8">
        <v>922914</v>
      </c>
      <c r="F152" s="38">
        <f t="shared" si="2"/>
        <v>5439</v>
      </c>
      <c r="G152" s="38">
        <v>37037</v>
      </c>
      <c r="H152" s="3">
        <v>14.789893749580139</v>
      </c>
    </row>
    <row r="153" spans="1:8" x14ac:dyDescent="0.3">
      <c r="A153" s="6" t="s">
        <v>99</v>
      </c>
      <c r="B153" s="3" t="s">
        <v>21</v>
      </c>
      <c r="C153" s="8">
        <v>6510</v>
      </c>
      <c r="D153" s="8">
        <v>481</v>
      </c>
      <c r="E153" s="8">
        <v>928943</v>
      </c>
      <c r="F153" s="38">
        <f t="shared" si="2"/>
        <v>6029</v>
      </c>
      <c r="G153" s="38">
        <v>19557</v>
      </c>
      <c r="H153" s="3">
        <v>2.3800168578696428</v>
      </c>
    </row>
    <row r="154" spans="1:8" x14ac:dyDescent="0.3">
      <c r="A154" s="6" t="s">
        <v>112</v>
      </c>
      <c r="B154" s="3" t="s">
        <v>21</v>
      </c>
      <c r="C154" s="8">
        <v>9754</v>
      </c>
      <c r="D154" s="8">
        <v>629</v>
      </c>
      <c r="E154" s="8">
        <v>938068</v>
      </c>
      <c r="F154" s="38">
        <f t="shared" si="2"/>
        <v>9125</v>
      </c>
      <c r="G154" s="38">
        <v>19435</v>
      </c>
      <c r="H154" s="3">
        <v>3.4123325814333292</v>
      </c>
    </row>
    <row r="155" spans="1:8" x14ac:dyDescent="0.3">
      <c r="A155" s="6" t="s">
        <v>112</v>
      </c>
      <c r="B155" s="3" t="s">
        <v>541</v>
      </c>
      <c r="C155" s="8">
        <v>9964</v>
      </c>
      <c r="D155" s="8">
        <v>985</v>
      </c>
      <c r="E155" s="8">
        <v>947047</v>
      </c>
      <c r="F155" s="38">
        <f t="shared" si="2"/>
        <v>8979</v>
      </c>
      <c r="G155" s="38">
        <v>47766</v>
      </c>
      <c r="H155" s="3">
        <v>1.9837452629066989</v>
      </c>
    </row>
    <row r="156" spans="1:8" x14ac:dyDescent="0.3">
      <c r="A156" s="6" t="s">
        <v>112</v>
      </c>
      <c r="B156" s="3" t="s">
        <v>541</v>
      </c>
      <c r="C156" s="8">
        <v>7493</v>
      </c>
      <c r="D156" s="8">
        <v>1113</v>
      </c>
      <c r="E156" s="8">
        <v>953427</v>
      </c>
      <c r="F156" s="38">
        <f t="shared" si="2"/>
        <v>6380</v>
      </c>
      <c r="G156" s="38">
        <v>10162</v>
      </c>
      <c r="H156" s="3">
        <v>15.684892498324469</v>
      </c>
    </row>
    <row r="157" spans="1:8" x14ac:dyDescent="0.3">
      <c r="A157" s="6" t="s">
        <v>112</v>
      </c>
      <c r="B157" s="3" t="s">
        <v>21</v>
      </c>
      <c r="C157" s="8">
        <v>6439</v>
      </c>
      <c r="D157" s="8">
        <v>477</v>
      </c>
      <c r="E157" s="8">
        <v>959389</v>
      </c>
      <c r="F157" s="38">
        <f t="shared" si="2"/>
        <v>5962</v>
      </c>
      <c r="G157" s="38">
        <v>44742</v>
      </c>
      <c r="H157" s="3">
        <v>7.4744446725989153</v>
      </c>
    </row>
    <row r="158" spans="1:8" x14ac:dyDescent="0.3">
      <c r="A158" s="6" t="s">
        <v>156</v>
      </c>
      <c r="B158" s="3" t="s">
        <v>541</v>
      </c>
      <c r="C158" s="8">
        <v>7511</v>
      </c>
      <c r="D158" s="8">
        <v>880</v>
      </c>
      <c r="E158" s="8">
        <v>966020</v>
      </c>
      <c r="F158" s="38">
        <f t="shared" si="2"/>
        <v>6631</v>
      </c>
      <c r="G158" s="38">
        <v>29675</v>
      </c>
      <c r="H158" s="3">
        <v>4.6083932009689246</v>
      </c>
    </row>
    <row r="159" spans="1:8" x14ac:dyDescent="0.3">
      <c r="A159" s="6" t="s">
        <v>156</v>
      </c>
      <c r="B159" s="3" t="s">
        <v>542</v>
      </c>
      <c r="C159" s="8">
        <v>8504</v>
      </c>
      <c r="D159" s="8">
        <v>1072</v>
      </c>
      <c r="E159" s="8">
        <v>973452</v>
      </c>
      <c r="F159" s="38">
        <f t="shared" si="2"/>
        <v>7432</v>
      </c>
      <c r="G159" s="38">
        <v>18461</v>
      </c>
      <c r="H159" s="3">
        <v>6.5651927367759271</v>
      </c>
    </row>
    <row r="160" spans="1:8" x14ac:dyDescent="0.3">
      <c r="A160" s="6" t="s">
        <v>156</v>
      </c>
      <c r="B160" s="3" t="s">
        <v>44</v>
      </c>
      <c r="C160" s="8">
        <v>2246</v>
      </c>
      <c r="D160" s="8">
        <v>165</v>
      </c>
      <c r="E160" s="8">
        <v>975533</v>
      </c>
      <c r="F160" s="38">
        <f t="shared" si="2"/>
        <v>2081</v>
      </c>
      <c r="G160" s="38">
        <v>27015</v>
      </c>
      <c r="H160" s="3">
        <v>2.9062061457685191</v>
      </c>
    </row>
    <row r="161" spans="1:8" x14ac:dyDescent="0.3">
      <c r="A161" s="6" t="s">
        <v>156</v>
      </c>
      <c r="B161" s="3" t="s">
        <v>44</v>
      </c>
      <c r="C161" s="8">
        <v>4839</v>
      </c>
      <c r="D161" s="8">
        <v>594</v>
      </c>
      <c r="E161" s="8">
        <v>979778</v>
      </c>
      <c r="F161" s="38">
        <f t="shared" si="2"/>
        <v>4245</v>
      </c>
      <c r="G161" s="38">
        <v>42591</v>
      </c>
      <c r="H161" s="3">
        <v>2.5803804535313102</v>
      </c>
    </row>
    <row r="162" spans="1:8" x14ac:dyDescent="0.3">
      <c r="A162" s="6" t="s">
        <v>521</v>
      </c>
      <c r="B162" s="3" t="s">
        <v>44</v>
      </c>
      <c r="C162" s="8">
        <v>9551</v>
      </c>
      <c r="D162" s="8">
        <v>828</v>
      </c>
      <c r="E162" s="8">
        <v>988501</v>
      </c>
      <c r="F162" s="38">
        <f t="shared" si="2"/>
        <v>8723</v>
      </c>
      <c r="G162" s="38">
        <v>38047</v>
      </c>
      <c r="H162" s="3">
        <v>1.525036393488727</v>
      </c>
    </row>
    <row r="163" spans="1:8" x14ac:dyDescent="0.3">
      <c r="A163" s="6" t="s">
        <v>521</v>
      </c>
      <c r="B163" s="3" t="s">
        <v>21</v>
      </c>
      <c r="C163" s="8">
        <v>3376</v>
      </c>
      <c r="D163" s="8">
        <v>382</v>
      </c>
      <c r="E163" s="8">
        <v>991495</v>
      </c>
      <c r="F163" s="38">
        <f t="shared" si="2"/>
        <v>2994</v>
      </c>
      <c r="G163" s="38">
        <v>44782</v>
      </c>
      <c r="H163" s="3">
        <v>3.8694093263203548</v>
      </c>
    </row>
    <row r="164" spans="1:8" x14ac:dyDescent="0.3">
      <c r="A164" s="6" t="s">
        <v>521</v>
      </c>
      <c r="B164" s="3" t="s">
        <v>541</v>
      </c>
      <c r="C164" s="8">
        <v>4009</v>
      </c>
      <c r="D164" s="8">
        <v>454</v>
      </c>
      <c r="E164" s="8">
        <v>995050</v>
      </c>
      <c r="F164" s="38">
        <f t="shared" si="2"/>
        <v>3555</v>
      </c>
      <c r="G164" s="38">
        <v>19833</v>
      </c>
      <c r="H164" s="3">
        <v>2.1106477061454201</v>
      </c>
    </row>
    <row r="165" spans="1:8" x14ac:dyDescent="0.3">
      <c r="A165" s="6" t="s">
        <v>521</v>
      </c>
      <c r="B165" s="3" t="s">
        <v>542</v>
      </c>
      <c r="C165" s="8">
        <v>2827</v>
      </c>
      <c r="D165" s="8">
        <v>292</v>
      </c>
      <c r="E165" s="8">
        <v>997585</v>
      </c>
      <c r="F165" s="38">
        <f t="shared" si="2"/>
        <v>2535</v>
      </c>
      <c r="G165" s="38">
        <v>17896</v>
      </c>
      <c r="H165" s="3">
        <v>2.4004972007397871</v>
      </c>
    </row>
    <row r="166" spans="1:8" x14ac:dyDescent="0.3">
      <c r="A166" s="6" t="s">
        <v>522</v>
      </c>
      <c r="B166" s="3" t="s">
        <v>542</v>
      </c>
      <c r="C166" s="8">
        <v>7979</v>
      </c>
      <c r="D166" s="8">
        <v>470</v>
      </c>
      <c r="E166" s="8">
        <v>1005094</v>
      </c>
      <c r="F166" s="38">
        <f t="shared" si="2"/>
        <v>7509</v>
      </c>
      <c r="G166" s="38">
        <v>42972</v>
      </c>
      <c r="H166" s="3">
        <v>10.43086517280971</v>
      </c>
    </row>
    <row r="167" spans="1:8" x14ac:dyDescent="0.3">
      <c r="A167" s="6" t="s">
        <v>522</v>
      </c>
      <c r="B167" s="3" t="s">
        <v>21</v>
      </c>
      <c r="C167" s="8">
        <v>9569</v>
      </c>
      <c r="D167" s="8">
        <v>1277</v>
      </c>
      <c r="E167" s="8">
        <v>1013386</v>
      </c>
      <c r="F167" s="38">
        <f t="shared" si="2"/>
        <v>8292</v>
      </c>
      <c r="G167" s="38">
        <v>59733</v>
      </c>
      <c r="H167" s="3">
        <v>12.45517502708741</v>
      </c>
    </row>
    <row r="168" spans="1:8" x14ac:dyDescent="0.3">
      <c r="A168" s="6" t="s">
        <v>522</v>
      </c>
      <c r="B168" s="3" t="s">
        <v>542</v>
      </c>
      <c r="C168" s="8">
        <v>5285</v>
      </c>
      <c r="D168" s="8">
        <v>433</v>
      </c>
      <c r="E168" s="8">
        <v>1018238</v>
      </c>
      <c r="F168" s="38">
        <f t="shared" si="2"/>
        <v>4852</v>
      </c>
      <c r="G168" s="38">
        <v>51800</v>
      </c>
      <c r="H168" s="3">
        <v>8.7022876773406619</v>
      </c>
    </row>
    <row r="169" spans="1:8" x14ac:dyDescent="0.3">
      <c r="A169" s="6" t="s">
        <v>522</v>
      </c>
      <c r="B169" s="3" t="s">
        <v>542</v>
      </c>
      <c r="C169" s="8">
        <v>7910</v>
      </c>
      <c r="D169" s="8">
        <v>543</v>
      </c>
      <c r="E169" s="8">
        <v>1025605</v>
      </c>
      <c r="F169" s="38">
        <f t="shared" si="2"/>
        <v>7367</v>
      </c>
      <c r="G169" s="38">
        <v>40508</v>
      </c>
      <c r="H169" s="3">
        <v>6.0590578244060822</v>
      </c>
    </row>
    <row r="170" spans="1:8" x14ac:dyDescent="0.3">
      <c r="A170" s="6" t="s">
        <v>338</v>
      </c>
      <c r="B170" s="3" t="s">
        <v>542</v>
      </c>
      <c r="C170" s="8">
        <v>9561</v>
      </c>
      <c r="D170" s="8">
        <v>517</v>
      </c>
      <c r="E170" s="8">
        <v>1034649</v>
      </c>
      <c r="F170" s="38">
        <f t="shared" si="2"/>
        <v>9044</v>
      </c>
      <c r="G170" s="38">
        <v>15347</v>
      </c>
      <c r="H170" s="3">
        <v>6.4086467971263694</v>
      </c>
    </row>
    <row r="171" spans="1:8" x14ac:dyDescent="0.3">
      <c r="A171" s="6" t="s">
        <v>338</v>
      </c>
      <c r="B171" s="3" t="s">
        <v>542</v>
      </c>
      <c r="C171" s="8">
        <v>3196</v>
      </c>
      <c r="D171" s="8">
        <v>348</v>
      </c>
      <c r="E171" s="8">
        <v>1037497</v>
      </c>
      <c r="F171" s="38">
        <f t="shared" si="2"/>
        <v>2848</v>
      </c>
      <c r="G171" s="38">
        <v>40314</v>
      </c>
      <c r="H171" s="3">
        <v>14.03040201562029</v>
      </c>
    </row>
    <row r="172" spans="1:8" x14ac:dyDescent="0.3">
      <c r="A172" s="6" t="s">
        <v>338</v>
      </c>
      <c r="B172" s="3" t="s">
        <v>541</v>
      </c>
      <c r="C172" s="8">
        <v>4747</v>
      </c>
      <c r="D172" s="8">
        <v>558</v>
      </c>
      <c r="E172" s="8">
        <v>1041686</v>
      </c>
      <c r="F172" s="38">
        <f t="shared" si="2"/>
        <v>4189</v>
      </c>
      <c r="G172" s="38">
        <v>12643</v>
      </c>
      <c r="H172" s="3">
        <v>5.7680529449373434</v>
      </c>
    </row>
    <row r="173" spans="1:8" x14ac:dyDescent="0.3">
      <c r="A173" s="6" t="s">
        <v>338</v>
      </c>
      <c r="B173" s="3" t="s">
        <v>542</v>
      </c>
      <c r="C173" s="8">
        <v>9843</v>
      </c>
      <c r="D173" s="8">
        <v>508</v>
      </c>
      <c r="E173" s="8">
        <v>1051021</v>
      </c>
      <c r="F173" s="38">
        <f t="shared" si="2"/>
        <v>9335</v>
      </c>
      <c r="G173" s="38">
        <v>50785</v>
      </c>
      <c r="H173" s="3">
        <v>4.2080986012648651</v>
      </c>
    </row>
    <row r="174" spans="1:8" x14ac:dyDescent="0.3">
      <c r="A174" s="6" t="s">
        <v>523</v>
      </c>
      <c r="B174" s="3" t="s">
        <v>44</v>
      </c>
      <c r="C174" s="8">
        <v>6978</v>
      </c>
      <c r="D174" s="8">
        <v>706</v>
      </c>
      <c r="E174" s="8">
        <v>1057293</v>
      </c>
      <c r="F174" s="38">
        <f t="shared" si="2"/>
        <v>6272</v>
      </c>
      <c r="G174" s="38">
        <v>28681</v>
      </c>
      <c r="H174" s="3">
        <v>5.057443868445171</v>
      </c>
    </row>
    <row r="175" spans="1:8" x14ac:dyDescent="0.3">
      <c r="A175" s="6" t="s">
        <v>523</v>
      </c>
      <c r="B175" s="3" t="s">
        <v>21</v>
      </c>
      <c r="C175" s="8">
        <v>6607</v>
      </c>
      <c r="D175" s="8">
        <v>479</v>
      </c>
      <c r="E175" s="8">
        <v>1063421</v>
      </c>
      <c r="F175" s="38">
        <f t="shared" si="2"/>
        <v>6128</v>
      </c>
      <c r="G175" s="38">
        <v>48328</v>
      </c>
      <c r="H175" s="3">
        <v>5.5892257158735816</v>
      </c>
    </row>
    <row r="176" spans="1:8" x14ac:dyDescent="0.3">
      <c r="A176" s="6" t="s">
        <v>523</v>
      </c>
      <c r="B176" s="3" t="s">
        <v>541</v>
      </c>
      <c r="C176" s="8">
        <v>1769</v>
      </c>
      <c r="D176" s="8">
        <v>202</v>
      </c>
      <c r="E176" s="8">
        <v>1064988</v>
      </c>
      <c r="F176" s="38">
        <f t="shared" si="2"/>
        <v>1567</v>
      </c>
      <c r="G176" s="38">
        <v>25892</v>
      </c>
      <c r="H176" s="3">
        <v>6.5457075572682513</v>
      </c>
    </row>
    <row r="177" spans="1:8" x14ac:dyDescent="0.3">
      <c r="A177" s="6" t="s">
        <v>523</v>
      </c>
      <c r="B177" s="3" t="s">
        <v>542</v>
      </c>
      <c r="C177" s="8">
        <v>1780</v>
      </c>
      <c r="D177" s="8">
        <v>120</v>
      </c>
      <c r="E177" s="8">
        <v>1066648</v>
      </c>
      <c r="F177" s="38">
        <f t="shared" si="2"/>
        <v>1660</v>
      </c>
      <c r="G177" s="38">
        <v>57299</v>
      </c>
      <c r="H177" s="3">
        <v>13.86474263299608</v>
      </c>
    </row>
    <row r="178" spans="1:8" x14ac:dyDescent="0.3">
      <c r="A178" s="6" t="s">
        <v>353</v>
      </c>
      <c r="B178" s="3" t="s">
        <v>541</v>
      </c>
      <c r="C178" s="8">
        <v>7303</v>
      </c>
      <c r="D178" s="8">
        <v>869</v>
      </c>
      <c r="E178" s="8">
        <v>1073082</v>
      </c>
      <c r="F178" s="38">
        <f t="shared" si="2"/>
        <v>6434</v>
      </c>
      <c r="G178" s="38">
        <v>27073</v>
      </c>
      <c r="H178" s="3">
        <v>8.1237966902808925</v>
      </c>
    </row>
    <row r="179" spans="1:8" x14ac:dyDescent="0.3">
      <c r="A179" s="6" t="s">
        <v>353</v>
      </c>
      <c r="B179" s="3" t="s">
        <v>542</v>
      </c>
      <c r="C179" s="8">
        <v>4983</v>
      </c>
      <c r="D179" s="8">
        <v>441</v>
      </c>
      <c r="E179" s="8">
        <v>1077624</v>
      </c>
      <c r="F179" s="38">
        <f t="shared" si="2"/>
        <v>4542</v>
      </c>
      <c r="G179" s="38">
        <v>46768</v>
      </c>
      <c r="H179" s="3">
        <v>6.8954477628560609</v>
      </c>
    </row>
    <row r="180" spans="1:8" x14ac:dyDescent="0.3">
      <c r="A180" s="6" t="s">
        <v>353</v>
      </c>
      <c r="B180" s="3" t="s">
        <v>44</v>
      </c>
      <c r="C180" s="8">
        <v>9714</v>
      </c>
      <c r="D180" s="8">
        <v>1395</v>
      </c>
      <c r="E180" s="8">
        <v>1085943</v>
      </c>
      <c r="F180" s="38">
        <f t="shared" si="2"/>
        <v>8319</v>
      </c>
      <c r="G180" s="38">
        <v>40682</v>
      </c>
      <c r="H180" s="3">
        <v>5.2243073531483697</v>
      </c>
    </row>
    <row r="181" spans="1:8" x14ac:dyDescent="0.3">
      <c r="A181" s="6" t="s">
        <v>353</v>
      </c>
      <c r="B181" s="3" t="s">
        <v>21</v>
      </c>
      <c r="C181" s="8">
        <v>1521</v>
      </c>
      <c r="D181" s="8">
        <v>96</v>
      </c>
      <c r="E181" s="8">
        <v>1087368</v>
      </c>
      <c r="F181" s="38">
        <f t="shared" si="2"/>
        <v>1425</v>
      </c>
      <c r="G181" s="38">
        <v>42262</v>
      </c>
      <c r="H181" s="3">
        <v>12.709772588488899</v>
      </c>
    </row>
    <row r="182" spans="1:8" x14ac:dyDescent="0.3">
      <c r="A182" s="6" t="s">
        <v>524</v>
      </c>
      <c r="B182" s="3" t="s">
        <v>542</v>
      </c>
      <c r="C182" s="8">
        <v>8569</v>
      </c>
      <c r="D182" s="8">
        <v>720</v>
      </c>
      <c r="E182" s="8">
        <v>1095217</v>
      </c>
      <c r="F182" s="38">
        <f t="shared" si="2"/>
        <v>7849</v>
      </c>
      <c r="G182" s="38">
        <v>41358</v>
      </c>
      <c r="H182" s="3">
        <v>9.589697749395782</v>
      </c>
    </row>
    <row r="183" spans="1:8" x14ac:dyDescent="0.3">
      <c r="A183" s="6" t="s">
        <v>524</v>
      </c>
      <c r="B183" s="3" t="s">
        <v>542</v>
      </c>
      <c r="C183" s="8">
        <v>6784</v>
      </c>
      <c r="D183" s="8">
        <v>416</v>
      </c>
      <c r="E183" s="8">
        <v>1101585</v>
      </c>
      <c r="F183" s="38">
        <f t="shared" si="2"/>
        <v>6368</v>
      </c>
      <c r="G183" s="38">
        <v>24289</v>
      </c>
      <c r="H183" s="3">
        <v>9.3041390360253633</v>
      </c>
    </row>
    <row r="184" spans="1:8" x14ac:dyDescent="0.3">
      <c r="A184" s="6" t="s">
        <v>524</v>
      </c>
      <c r="B184" s="3" t="s">
        <v>542</v>
      </c>
      <c r="C184" s="8">
        <v>5583</v>
      </c>
      <c r="D184" s="8">
        <v>795</v>
      </c>
      <c r="E184" s="8">
        <v>1106373</v>
      </c>
      <c r="F184" s="38">
        <f t="shared" si="2"/>
        <v>4788</v>
      </c>
      <c r="G184" s="38">
        <v>59823</v>
      </c>
      <c r="H184" s="3">
        <v>12.21550055903389</v>
      </c>
    </row>
    <row r="185" spans="1:8" x14ac:dyDescent="0.3">
      <c r="A185" s="6" t="s">
        <v>524</v>
      </c>
      <c r="B185" s="3" t="s">
        <v>542</v>
      </c>
      <c r="C185" s="8">
        <v>6946</v>
      </c>
      <c r="D185" s="8">
        <v>956</v>
      </c>
      <c r="E185" s="8">
        <v>1112363</v>
      </c>
      <c r="F185" s="38">
        <f t="shared" si="2"/>
        <v>5990</v>
      </c>
      <c r="G185" s="38">
        <v>17927</v>
      </c>
      <c r="H185" s="3">
        <v>1.64146056637986</v>
      </c>
    </row>
    <row r="186" spans="1:8" x14ac:dyDescent="0.3">
      <c r="A186" s="6" t="s">
        <v>525</v>
      </c>
      <c r="B186" s="3" t="s">
        <v>21</v>
      </c>
      <c r="C186" s="8">
        <v>5941</v>
      </c>
      <c r="D186" s="8">
        <v>450</v>
      </c>
      <c r="E186" s="8">
        <v>1117854</v>
      </c>
      <c r="F186" s="38">
        <f t="shared" si="2"/>
        <v>5491</v>
      </c>
      <c r="G186" s="38">
        <v>58330</v>
      </c>
      <c r="H186" s="3">
        <v>12.414411899944</v>
      </c>
    </row>
    <row r="187" spans="1:8" x14ac:dyDescent="0.3">
      <c r="A187" s="6" t="s">
        <v>525</v>
      </c>
      <c r="B187" s="3" t="s">
        <v>21</v>
      </c>
      <c r="C187" s="8">
        <v>7267</v>
      </c>
      <c r="D187" s="8">
        <v>842</v>
      </c>
      <c r="E187" s="8">
        <v>1124279</v>
      </c>
      <c r="F187" s="38">
        <f t="shared" si="2"/>
        <v>6425</v>
      </c>
      <c r="G187" s="38">
        <v>11171</v>
      </c>
      <c r="H187" s="3">
        <v>2.2102165031989389</v>
      </c>
    </row>
    <row r="188" spans="1:8" x14ac:dyDescent="0.3">
      <c r="A188" s="6" t="s">
        <v>525</v>
      </c>
      <c r="B188" s="3" t="s">
        <v>44</v>
      </c>
      <c r="C188" s="8">
        <v>8128</v>
      </c>
      <c r="D188" s="8">
        <v>1070</v>
      </c>
      <c r="E188" s="8">
        <v>1131337</v>
      </c>
      <c r="F188" s="38">
        <f t="shared" si="2"/>
        <v>7058</v>
      </c>
      <c r="G188" s="38">
        <v>21918</v>
      </c>
      <c r="H188" s="3">
        <v>8.1114645768679008</v>
      </c>
    </row>
    <row r="189" spans="1:8" x14ac:dyDescent="0.3">
      <c r="A189" s="6" t="s">
        <v>525</v>
      </c>
      <c r="B189" s="3" t="s">
        <v>21</v>
      </c>
      <c r="C189" s="8">
        <v>3461</v>
      </c>
      <c r="D189" s="8">
        <v>365</v>
      </c>
      <c r="E189" s="8">
        <v>1134433</v>
      </c>
      <c r="F189" s="38">
        <f t="shared" si="2"/>
        <v>3096</v>
      </c>
      <c r="G189" s="38">
        <v>51903</v>
      </c>
      <c r="H189" s="3">
        <v>10.23489267325616</v>
      </c>
    </row>
    <row r="190" spans="1:8" x14ac:dyDescent="0.3">
      <c r="A190" s="6" t="s">
        <v>311</v>
      </c>
      <c r="B190" s="3" t="s">
        <v>542</v>
      </c>
      <c r="C190" s="8">
        <v>1685</v>
      </c>
      <c r="D190" s="8">
        <v>173</v>
      </c>
      <c r="E190" s="8">
        <v>1135945</v>
      </c>
      <c r="F190" s="38">
        <f t="shared" si="2"/>
        <v>1512</v>
      </c>
      <c r="G190" s="38">
        <v>49110</v>
      </c>
      <c r="H190" s="3">
        <v>8.7776256772995165</v>
      </c>
    </row>
    <row r="191" spans="1:8" x14ac:dyDescent="0.3">
      <c r="A191" s="6" t="s">
        <v>311</v>
      </c>
      <c r="B191" s="3" t="s">
        <v>44</v>
      </c>
      <c r="C191" s="8">
        <v>3160</v>
      </c>
      <c r="D191" s="8">
        <v>234</v>
      </c>
      <c r="E191" s="8">
        <v>1138871</v>
      </c>
      <c r="F191" s="38">
        <f t="shared" si="2"/>
        <v>2926</v>
      </c>
      <c r="G191" s="38">
        <v>21929</v>
      </c>
      <c r="H191" s="3">
        <v>5.6959041015180816</v>
      </c>
    </row>
    <row r="192" spans="1:8" x14ac:dyDescent="0.3">
      <c r="A192" s="6" t="s">
        <v>311</v>
      </c>
      <c r="B192" s="3" t="s">
        <v>44</v>
      </c>
      <c r="C192" s="8">
        <v>8031</v>
      </c>
      <c r="D192" s="8">
        <v>476</v>
      </c>
      <c r="E192" s="8">
        <v>1146426</v>
      </c>
      <c r="F192" s="38">
        <f t="shared" si="2"/>
        <v>7555</v>
      </c>
      <c r="G192" s="38">
        <v>12539</v>
      </c>
      <c r="H192" s="3">
        <v>11.940413075069831</v>
      </c>
    </row>
    <row r="193" spans="1:8" x14ac:dyDescent="0.3">
      <c r="A193" s="6" t="s">
        <v>311</v>
      </c>
      <c r="B193" s="3" t="s">
        <v>44</v>
      </c>
      <c r="C193" s="8">
        <v>6341</v>
      </c>
      <c r="D193" s="8">
        <v>885</v>
      </c>
      <c r="E193" s="8">
        <v>1151882</v>
      </c>
      <c r="F193" s="38">
        <f t="shared" si="2"/>
        <v>5456</v>
      </c>
      <c r="G193" s="38">
        <v>46727</v>
      </c>
      <c r="H193" s="3">
        <v>6.3457020771224837</v>
      </c>
    </row>
    <row r="194" spans="1:8" x14ac:dyDescent="0.3">
      <c r="A194" s="6" t="s">
        <v>59</v>
      </c>
      <c r="B194" s="3" t="s">
        <v>542</v>
      </c>
      <c r="C194" s="8">
        <v>1038</v>
      </c>
      <c r="D194" s="8">
        <v>145</v>
      </c>
      <c r="E194" s="8">
        <v>1152775</v>
      </c>
      <c r="F194" s="38">
        <f t="shared" si="2"/>
        <v>893</v>
      </c>
      <c r="G194" s="38">
        <v>55951</v>
      </c>
      <c r="H194" s="3">
        <v>11.093752033137431</v>
      </c>
    </row>
    <row r="195" spans="1:8" x14ac:dyDescent="0.3">
      <c r="A195" s="6" t="s">
        <v>59</v>
      </c>
      <c r="B195" s="3" t="s">
        <v>541</v>
      </c>
      <c r="C195" s="8">
        <v>5875</v>
      </c>
      <c r="D195" s="8">
        <v>665</v>
      </c>
      <c r="E195" s="8">
        <v>1157985</v>
      </c>
      <c r="F195" s="38">
        <f t="shared" ref="F195:F201" si="3">C195-D195</f>
        <v>5210</v>
      </c>
      <c r="G195" s="38">
        <v>32669</v>
      </c>
      <c r="H195" s="3">
        <v>6.9871371390821126</v>
      </c>
    </row>
    <row r="196" spans="1:8" x14ac:dyDescent="0.3">
      <c r="A196" s="6" t="s">
        <v>59</v>
      </c>
      <c r="B196" s="3" t="s">
        <v>542</v>
      </c>
      <c r="C196" s="8">
        <v>2256</v>
      </c>
      <c r="D196" s="8">
        <v>189</v>
      </c>
      <c r="E196" s="8">
        <v>1160052</v>
      </c>
      <c r="F196" s="38">
        <f t="shared" si="3"/>
        <v>2067</v>
      </c>
      <c r="G196" s="38">
        <v>15432</v>
      </c>
      <c r="H196" s="3">
        <v>2.8935771844710412</v>
      </c>
    </row>
    <row r="197" spans="1:8" x14ac:dyDescent="0.3">
      <c r="A197" s="6" t="s">
        <v>59</v>
      </c>
      <c r="B197" s="3" t="s">
        <v>21</v>
      </c>
      <c r="C197" s="8">
        <v>8697</v>
      </c>
      <c r="D197" s="8">
        <v>738</v>
      </c>
      <c r="E197" s="8">
        <v>1168011</v>
      </c>
      <c r="F197" s="38">
        <f t="shared" si="3"/>
        <v>7959</v>
      </c>
      <c r="G197" s="38">
        <v>30644</v>
      </c>
      <c r="H197" s="3">
        <v>3.8777032065622672</v>
      </c>
    </row>
    <row r="198" spans="1:8" x14ac:dyDescent="0.3">
      <c r="A198" s="6" t="s">
        <v>22</v>
      </c>
      <c r="B198" s="3" t="s">
        <v>21</v>
      </c>
      <c r="C198" s="8">
        <v>3196</v>
      </c>
      <c r="D198" s="8">
        <v>391</v>
      </c>
      <c r="E198" s="8">
        <v>1170816</v>
      </c>
      <c r="F198" s="38">
        <f t="shared" si="3"/>
        <v>2805</v>
      </c>
      <c r="G198" s="38">
        <v>28745</v>
      </c>
      <c r="H198" s="3">
        <v>7.2439221876024931</v>
      </c>
    </row>
    <row r="199" spans="1:8" x14ac:dyDescent="0.3">
      <c r="A199" s="6" t="s">
        <v>22</v>
      </c>
      <c r="B199" s="3" t="s">
        <v>542</v>
      </c>
      <c r="C199" s="8">
        <v>8165</v>
      </c>
      <c r="D199" s="8">
        <v>1140</v>
      </c>
      <c r="E199" s="8">
        <v>1177841</v>
      </c>
      <c r="F199" s="38">
        <f t="shared" si="3"/>
        <v>7025</v>
      </c>
      <c r="G199" s="38">
        <v>38228</v>
      </c>
      <c r="H199" s="3">
        <v>9.095964565675672</v>
      </c>
    </row>
    <row r="200" spans="1:8" x14ac:dyDescent="0.3">
      <c r="A200" s="6" t="s">
        <v>22</v>
      </c>
      <c r="B200" s="3" t="s">
        <v>542</v>
      </c>
      <c r="C200" s="8">
        <v>1301</v>
      </c>
      <c r="D200" s="8">
        <v>180</v>
      </c>
      <c r="E200" s="8">
        <v>1178962</v>
      </c>
      <c r="F200" s="38">
        <f t="shared" si="3"/>
        <v>1121</v>
      </c>
      <c r="G200" s="38">
        <v>44521</v>
      </c>
      <c r="H200" s="3">
        <v>5.2275645864752214</v>
      </c>
    </row>
    <row r="201" spans="1:8" x14ac:dyDescent="0.3">
      <c r="A201" s="6" t="s">
        <v>22</v>
      </c>
      <c r="B201" s="3" t="s">
        <v>44</v>
      </c>
      <c r="C201" s="8">
        <v>8527</v>
      </c>
      <c r="D201" s="8">
        <v>1091</v>
      </c>
      <c r="E201" s="8">
        <v>1186398</v>
      </c>
      <c r="F201" s="38">
        <f t="shared" si="3"/>
        <v>7436</v>
      </c>
      <c r="G201" s="38">
        <v>41703</v>
      </c>
      <c r="H201" s="3">
        <v>1.676081719625286</v>
      </c>
    </row>
  </sheetData>
  <mergeCells count="1">
    <mergeCell ref="J20:S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Posts</vt:lpstr>
      <vt:lpstr>Follower growth per platform</vt:lpstr>
      <vt:lpstr>Peak week follower gain</vt:lpstr>
      <vt:lpstr>Engagement Summary</vt:lpstr>
      <vt:lpstr> Moving Averages </vt:lpstr>
      <vt:lpstr>Campaign Metadata</vt:lpstr>
      <vt:lpstr>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SASWATI DASH</dc:creator>
  <cp:lastModifiedBy>Saswati Dash</cp:lastModifiedBy>
  <dcterms:created xsi:type="dcterms:W3CDTF">2025-11-13T18:47:59Z</dcterms:created>
  <dcterms:modified xsi:type="dcterms:W3CDTF">2025-11-29T17:02:00Z</dcterms:modified>
</cp:coreProperties>
</file>